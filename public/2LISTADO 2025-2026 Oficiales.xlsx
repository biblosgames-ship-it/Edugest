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1ro Sec" sheetId="2" r:id="rId5"/>
    <sheet name="2do Sec." sheetId="3" r:id="rId6"/>
    <sheet name="3ro Sec" sheetId="4" r:id="rId7"/>
    <sheet name="4to A Sec" sheetId="5" r:id="rId8"/>
    <sheet name="4to B Sec" sheetId="6" r:id="rId9"/>
    <sheet name="5to A Sec" sheetId="7" r:id="rId10"/>
    <sheet name="5to B Sec" sheetId="8" r:id="rId11"/>
    <sheet name="6to Sec." sheetId="9" r:id="rId12"/>
  </sheets>
</workbook>
</file>

<file path=xl/sharedStrings.xml><?xml version="1.0" encoding="utf-8"?>
<sst xmlns="http://schemas.openxmlformats.org/spreadsheetml/2006/main" uniqueCount="828">
  <si>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</si>
  <si>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</si>
  <si>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</si>
  <si>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</si>
  <si>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1ro Sec</t>
  </si>
  <si>
    <t>Tabla 1</t>
  </si>
  <si>
    <t xml:space="preserve">Asistencia </t>
  </si>
  <si>
    <t xml:space="preserve">Apuntes </t>
  </si>
  <si>
    <t xml:space="preserve">Promedio de competencias especificas </t>
  </si>
  <si>
    <t>COMPLETIVO</t>
  </si>
  <si>
    <t>EXTRAORDINARIO</t>
  </si>
  <si>
    <t>Centro Educativo Cristiano Genesis</t>
  </si>
  <si>
    <t>Total</t>
  </si>
  <si>
    <t xml:space="preserve">COMUNICATIVA  </t>
  </si>
  <si>
    <t xml:space="preserve">PENSAMIENTO, LÓGICO  CREATIVO Y CRÍTICO - RESOLUCIÓN DE PROBLEMAS </t>
  </si>
  <si>
    <t xml:space="preserve">ÉTICA Y CIUDADANÍA - DESARROLLO PERSONAL Y ESPIRITUAL </t>
  </si>
  <si>
    <t xml:space="preserve">CIENTÍFICA Y TECNOLÓGICA -AMBIENTAL Y DE SALUD   </t>
  </si>
  <si>
    <t xml:space="preserve">PC1: Competencia 1 </t>
  </si>
  <si>
    <t xml:space="preserve">PC2: Competencia 2 </t>
  </si>
  <si>
    <t xml:space="preserve">PC3: Competencia 3 </t>
  </si>
  <si>
    <t xml:space="preserve">PC4: Competencia 4 </t>
  </si>
  <si>
    <t>CF</t>
  </si>
  <si>
    <t>50% CF</t>
  </si>
  <si>
    <t>C.E.C.</t>
  </si>
  <si>
    <t>50% C.E.C.</t>
  </si>
  <si>
    <t>C.C.F.</t>
  </si>
  <si>
    <t>30% CF</t>
  </si>
  <si>
    <t>C.E.EX.</t>
  </si>
  <si>
    <t>70% C.E.EX.</t>
  </si>
  <si>
    <t>C.EX.F.</t>
  </si>
  <si>
    <t>No</t>
  </si>
  <si>
    <t>Apellido</t>
  </si>
  <si>
    <t xml:space="preserve">Nombre </t>
  </si>
  <si>
    <t>P1</t>
  </si>
  <si>
    <t>RP1</t>
  </si>
  <si>
    <t>P2</t>
  </si>
  <si>
    <t>RP2</t>
  </si>
  <si>
    <t>P3</t>
  </si>
  <si>
    <t>RP3</t>
  </si>
  <si>
    <t>P4</t>
  </si>
  <si>
    <t>RP4</t>
  </si>
  <si>
    <t>ABREU  CAMPECHANO</t>
  </si>
  <si>
    <t>VALERY</t>
  </si>
  <si>
    <t>p</t>
  </si>
  <si>
    <t>ALTAGRACIA  GARCIA</t>
  </si>
  <si>
    <t>EMILY</t>
  </si>
  <si>
    <t xml:space="preserve">AQUINO  RAMOS </t>
  </si>
  <si>
    <t>LITZY YARISEINY</t>
  </si>
  <si>
    <t>CARPIO  CONTRERAS</t>
  </si>
  <si>
    <t>GIOVANNY DANIEL</t>
  </si>
  <si>
    <t>CASTILLO  GONZALEZ</t>
  </si>
  <si>
    <t>JONATHAN  ARMANY</t>
  </si>
  <si>
    <t>CEBALLOS  POLANCO</t>
  </si>
  <si>
    <t>ESCARLY  JEANNETTE</t>
  </si>
  <si>
    <t>CONTRERAS  JIMENEZ</t>
  </si>
  <si>
    <t>ADRIEL ISAIAS</t>
  </si>
  <si>
    <t>CORDERO  DEL ROSARIO</t>
  </si>
  <si>
    <t>ANTHONY</t>
  </si>
  <si>
    <t>DE JESUS  GARCIA</t>
  </si>
  <si>
    <t>LISS  FERNANDA</t>
  </si>
  <si>
    <t>DE JESUS  MERCEDES</t>
  </si>
  <si>
    <t>ISANNY ESTHER</t>
  </si>
  <si>
    <t>DE LOS SANTOS  MINAYA</t>
  </si>
  <si>
    <t>PAULA MARIA</t>
  </si>
  <si>
    <t>DEL ROSARIO  ENCARNACION</t>
  </si>
  <si>
    <t>BRIAN ESPNEYDI</t>
  </si>
  <si>
    <t>ENCARNACION   HERRERA</t>
  </si>
  <si>
    <t>ISAAC</t>
  </si>
  <si>
    <t>ENCARNACION  CARPIO</t>
  </si>
  <si>
    <t>HAROLD JAEL</t>
  </si>
  <si>
    <t>FLORES  ORTIZ</t>
  </si>
  <si>
    <t>ISCARLI</t>
  </si>
  <si>
    <t>GOMEZ   POUERIET</t>
  </si>
  <si>
    <t>ANTONELLA</t>
  </si>
  <si>
    <t>GONZALEZ  JAVIER</t>
  </si>
  <si>
    <t>IREISY DAURIELA</t>
  </si>
  <si>
    <t>GUERRERO  ABREU</t>
  </si>
  <si>
    <t>ELIAM DAVID</t>
  </si>
  <si>
    <t>GUERRERO  VILORIO</t>
  </si>
  <si>
    <t>CLARIANNYS</t>
  </si>
  <si>
    <t>HEREDIA  SOSA</t>
  </si>
  <si>
    <t>DARWIN</t>
  </si>
  <si>
    <t xml:space="preserve">JEAN BATISTE  SANTANA </t>
  </si>
  <si>
    <t>DAYKEN</t>
  </si>
  <si>
    <t>JIMENEZ  GIL</t>
  </si>
  <si>
    <t>ALYSHA</t>
  </si>
  <si>
    <t>LLONSO  HERNANDEZ</t>
  </si>
  <si>
    <t>YOBAIRY</t>
  </si>
  <si>
    <t>LOUISSAINT  PIERRE</t>
  </si>
  <si>
    <t xml:space="preserve">CELANY  ANGELICA </t>
  </si>
  <si>
    <t>MEDINA  JAVIER</t>
  </si>
  <si>
    <t>IRENE ARGEILYN</t>
  </si>
  <si>
    <t>MORLA  MARTINEZ</t>
  </si>
  <si>
    <t>ELIANDRA</t>
  </si>
  <si>
    <t>NOBOA  UBIERA</t>
  </si>
  <si>
    <t>YOLFIN ADRIAN</t>
  </si>
  <si>
    <t xml:space="preserve">PACHE  </t>
  </si>
  <si>
    <t>KENDRA BRISMARK</t>
  </si>
  <si>
    <t xml:space="preserve">PALMERO  </t>
  </si>
  <si>
    <t>MICHAEL FRANCISCO</t>
  </si>
  <si>
    <t>PEGUERO  ZORILLA</t>
  </si>
  <si>
    <t>KHARLA YIRAIMY</t>
  </si>
  <si>
    <t>PEREZ  CANELA</t>
  </si>
  <si>
    <t>BAIRON</t>
  </si>
  <si>
    <t>PEÑA  ESTEVEZ</t>
  </si>
  <si>
    <t>KEVIN JOSUE</t>
  </si>
  <si>
    <t>PILIER  RONDON</t>
  </si>
  <si>
    <t>JOE ALEXANDER</t>
  </si>
  <si>
    <t>RODRIGUEZ  DE  LOS SANTOS</t>
  </si>
  <si>
    <t>SAOLY DORIANNY</t>
  </si>
  <si>
    <t>ROMERO  CASTILLO</t>
  </si>
  <si>
    <t xml:space="preserve">JOSUE RAFAEL </t>
  </si>
  <si>
    <t>ROSA  LAZALA</t>
  </si>
  <si>
    <t>ROSARIO  TRINIDAD</t>
  </si>
  <si>
    <t>MARIO ALEJANDRO</t>
  </si>
  <si>
    <t>SANTANA  BERAS</t>
  </si>
  <si>
    <t>JELIANNA CAMILA</t>
  </si>
  <si>
    <t>SANTANA HERNANDEZ</t>
  </si>
  <si>
    <t>ZAYEL</t>
  </si>
  <si>
    <t>SANTILLAN  CARMONA</t>
  </si>
  <si>
    <t>AYLIN MARIELIS</t>
  </si>
  <si>
    <t xml:space="preserve">SANTOS   MARTES </t>
  </si>
  <si>
    <t>SOLANGY ESTHER</t>
  </si>
  <si>
    <t>SURIEL  NUÑEZ</t>
  </si>
  <si>
    <t>ABIGAIL GENESIS</t>
  </si>
  <si>
    <t>VASQUEZ  RONDON</t>
  </si>
  <si>
    <t>GISNEIRY  ELIZABETH</t>
  </si>
  <si>
    <t>2do Sec.</t>
  </si>
  <si>
    <t>90-94</t>
  </si>
  <si>
    <t>80-84</t>
  </si>
  <si>
    <t>0-69</t>
  </si>
  <si>
    <t>95-99</t>
  </si>
  <si>
    <t>85-89</t>
  </si>
  <si>
    <t>70-79</t>
  </si>
  <si>
    <t xml:space="preserve">    Centro Educativo Cristiano Genesis</t>
  </si>
  <si>
    <t xml:space="preserve">P3 </t>
  </si>
  <si>
    <t>Asis</t>
  </si>
  <si>
    <t>Part</t>
  </si>
  <si>
    <t>Disc</t>
  </si>
  <si>
    <t>TabernMaq</t>
  </si>
  <si>
    <t>Follet</t>
  </si>
  <si>
    <t>Currc</t>
  </si>
  <si>
    <t>Asist</t>
  </si>
  <si>
    <t>Folleto</t>
  </si>
  <si>
    <t>Biblia</t>
  </si>
  <si>
    <t xml:space="preserve">Reforma </t>
  </si>
  <si>
    <t>Curric</t>
  </si>
  <si>
    <t>Part-Disc</t>
  </si>
  <si>
    <t>16</t>
  </si>
  <si>
    <t>14</t>
  </si>
  <si>
    <t>4</t>
  </si>
  <si>
    <t>25</t>
  </si>
  <si>
    <t>feb 03</t>
  </si>
  <si>
    <t>Cartel Jesus</t>
  </si>
  <si>
    <t xml:space="preserve">Cap 4 </t>
  </si>
  <si>
    <t>Cap 5</t>
  </si>
  <si>
    <t>Chosen</t>
  </si>
  <si>
    <t>15 Expos.</t>
  </si>
  <si>
    <t>Grupo</t>
  </si>
  <si>
    <t>ABREU  RIJO</t>
  </si>
  <si>
    <t>KEYNER</t>
  </si>
  <si>
    <t>a</t>
  </si>
  <si>
    <t>P</t>
  </si>
  <si>
    <t>e</t>
  </si>
  <si>
    <t xml:space="preserve">Nombre del hermano y folleto firmado </t>
  </si>
  <si>
    <t>ABREU  RODRIGUEZ</t>
  </si>
  <si>
    <t>AMANDA  ESTHER</t>
  </si>
  <si>
    <t>BOITEL  MARTINEZ</t>
  </si>
  <si>
    <t>DAVID  ALFONSO</t>
  </si>
  <si>
    <t>CASTILLO  DE PAULA</t>
  </si>
  <si>
    <t>ELIAN</t>
  </si>
  <si>
    <t>CASTILLO  DEL ROSARIO</t>
  </si>
  <si>
    <t>PABLO ISAAC</t>
  </si>
  <si>
    <t>CEDANO  PEÑA</t>
  </si>
  <si>
    <t>AMELIE MARIE</t>
  </si>
  <si>
    <t xml:space="preserve">CEDEÑO    ANTUNA </t>
  </si>
  <si>
    <t xml:space="preserve">ONEIDYS </t>
  </si>
  <si>
    <t>CIPRIAN  GUERRERO</t>
  </si>
  <si>
    <t>NASHLY MARIELVY</t>
  </si>
  <si>
    <t>CRUZ  LOPEZ</t>
  </si>
  <si>
    <t>DARIANA</t>
  </si>
  <si>
    <t>DE LA ROSA   ABREU</t>
  </si>
  <si>
    <t xml:space="preserve">MILEINY CAROLINA </t>
  </si>
  <si>
    <t>DE LEON  AMPARO</t>
  </si>
  <si>
    <t>EIMY ELEONOR</t>
  </si>
  <si>
    <t>DIAZ  MERCEDES</t>
  </si>
  <si>
    <t>EMMANUEL</t>
  </si>
  <si>
    <t>rec</t>
  </si>
  <si>
    <t>Pend.</t>
  </si>
  <si>
    <t>DIAZ  REBECCA</t>
  </si>
  <si>
    <t>EDWIN ALEXANDER</t>
  </si>
  <si>
    <t>A</t>
  </si>
  <si>
    <t>DOMINGUEZ  FELIZ</t>
  </si>
  <si>
    <t>JUAN JOSE</t>
  </si>
  <si>
    <t>Folleto vacío</t>
  </si>
  <si>
    <t>Cuaderno vacio</t>
  </si>
  <si>
    <t>Rec</t>
  </si>
  <si>
    <t>En la dirección</t>
  </si>
  <si>
    <t>DURAN  JIMENEZ</t>
  </si>
  <si>
    <t>GRILEIDY</t>
  </si>
  <si>
    <t>ESPIRITUSANTO  JIMENEZ</t>
  </si>
  <si>
    <t>DAVIEL DAVID</t>
  </si>
  <si>
    <t>Cambio</t>
  </si>
  <si>
    <t>FERNANDEZ  RIJO</t>
  </si>
  <si>
    <t>BRANDON ISAEL</t>
  </si>
  <si>
    <t>suspendido</t>
  </si>
  <si>
    <t>GUERERO  RAMOS</t>
  </si>
  <si>
    <t>SORIBEL</t>
  </si>
  <si>
    <t>GUERRERO  MEDINA</t>
  </si>
  <si>
    <t>IAN ABDIAS</t>
  </si>
  <si>
    <t>HIDALGO    PEGUERO</t>
  </si>
  <si>
    <t xml:space="preserve">NERYEL OTONIEL </t>
  </si>
  <si>
    <t>LOPEZ  NOLASCO</t>
  </si>
  <si>
    <t>ARLENIS</t>
  </si>
  <si>
    <t>MARTINEZ  ROSARIO</t>
  </si>
  <si>
    <t>MILITZA CHARLOTTE</t>
  </si>
  <si>
    <t>DECIA SOLO CUAD</t>
  </si>
  <si>
    <t>MONTAS  AMARANTE</t>
  </si>
  <si>
    <t>ENMANUEL</t>
  </si>
  <si>
    <t>MONTAÑO  MEJIA</t>
  </si>
  <si>
    <t>YOHADELYN</t>
  </si>
  <si>
    <t xml:space="preserve">REVISAR </t>
  </si>
  <si>
    <t>REC</t>
  </si>
  <si>
    <t>NAVARRO  DEL ROSARIO</t>
  </si>
  <si>
    <t>CRISTOPHER  DANIEL</t>
  </si>
  <si>
    <t>ojo</t>
  </si>
  <si>
    <t>Uhh</t>
  </si>
  <si>
    <t>OBISPO  SOTO</t>
  </si>
  <si>
    <t>RUDDY ALEJANDRO</t>
  </si>
  <si>
    <t>WIGNI ELIZABETH</t>
  </si>
  <si>
    <t>cambiar</t>
  </si>
  <si>
    <t>PACHE  ALCALA</t>
  </si>
  <si>
    <t>MAIRELYN  DANEZA</t>
  </si>
  <si>
    <t>PILAR  VASQUEZ</t>
  </si>
  <si>
    <t>LIZMEILY</t>
  </si>
  <si>
    <t>PIÑA  MONTERO</t>
  </si>
  <si>
    <t>JEILYN MARIANNY</t>
  </si>
  <si>
    <t>RIJO  SANTANA</t>
  </si>
  <si>
    <t>CORAL ABIGAIL</t>
  </si>
  <si>
    <t>recu</t>
  </si>
  <si>
    <t>RODRIGUEZ  GIL</t>
  </si>
  <si>
    <t>RONY</t>
  </si>
  <si>
    <t>ROSARIO  POCHE</t>
  </si>
  <si>
    <t>ELIANNI</t>
  </si>
  <si>
    <t>El folleto estaba en la direccin</t>
  </si>
  <si>
    <t>ROSARIO  ROCHE</t>
  </si>
  <si>
    <t>BRAYAN OSIRIS</t>
  </si>
  <si>
    <t>SANCHEZ  ABREU</t>
  </si>
  <si>
    <t>MELANI</t>
  </si>
  <si>
    <t>SANTANA  DE PEÑA</t>
  </si>
  <si>
    <t>ZOE NIGELLA</t>
  </si>
  <si>
    <t>SANTANA  GUERRERO</t>
  </si>
  <si>
    <t>ELIANNY</t>
  </si>
  <si>
    <t>UBIERA  GUERRERO</t>
  </si>
  <si>
    <t>NAZLY FRANCHELY</t>
  </si>
  <si>
    <t>GINO ELIAN</t>
  </si>
  <si>
    <t>VELOZ  PAYANO</t>
  </si>
  <si>
    <t>FANNY LU</t>
  </si>
  <si>
    <t>Entrego tarde</t>
  </si>
  <si>
    <t>VENTURA  DE LOS SANTOS</t>
  </si>
  <si>
    <t>JOSHLIE JESUS</t>
  </si>
  <si>
    <t>3ro Sec</t>
  </si>
  <si>
    <t>Tecn</t>
  </si>
  <si>
    <t>Comun</t>
  </si>
  <si>
    <t>Logic</t>
  </si>
  <si>
    <t>Espir</t>
  </si>
  <si>
    <t>Vestuario</t>
  </si>
  <si>
    <t>FOlleto</t>
  </si>
  <si>
    <t>11 mar</t>
  </si>
  <si>
    <t>15 abril</t>
  </si>
  <si>
    <t>ASIST</t>
  </si>
  <si>
    <t>DISC</t>
  </si>
  <si>
    <t>FOLLET</t>
  </si>
  <si>
    <t>CURRC</t>
  </si>
  <si>
    <t>10</t>
  </si>
  <si>
    <t>5</t>
  </si>
  <si>
    <t>Indic</t>
  </si>
  <si>
    <t>Folle</t>
  </si>
  <si>
    <t>Curr</t>
  </si>
  <si>
    <t>Familia</t>
  </si>
  <si>
    <t>ARECHE  RODRIGUEZ</t>
  </si>
  <si>
    <t>GENESIS ESTHER</t>
  </si>
  <si>
    <t>t</t>
  </si>
  <si>
    <t>ASTACIO  LORENZO</t>
  </si>
  <si>
    <t>PERLA CAMIL</t>
  </si>
  <si>
    <t xml:space="preserve">BAEZ  </t>
  </si>
  <si>
    <t>YOSMAILIN</t>
  </si>
  <si>
    <t>BECA  CHALAS</t>
  </si>
  <si>
    <t>JHAROBEL ALEXANDER</t>
  </si>
  <si>
    <t>Un solo colo</t>
  </si>
  <si>
    <t>CALDERON  JIMENEZ</t>
  </si>
  <si>
    <t xml:space="preserve">EMILY LORENA </t>
  </si>
  <si>
    <t>CASTILLO  CUEVAS</t>
  </si>
  <si>
    <t>ROYER MANUEL</t>
  </si>
  <si>
    <t>EDILENNY</t>
  </si>
  <si>
    <t>CONCEPCION  ESPINAL</t>
  </si>
  <si>
    <t>DARWIN JOEL</t>
  </si>
  <si>
    <t>ABIGAIL</t>
  </si>
  <si>
    <t>DISLA  JIMENEZ</t>
  </si>
  <si>
    <t>ANDERLIN NAOMI</t>
  </si>
  <si>
    <t>FELIZ  GUERRERO</t>
  </si>
  <si>
    <t>GARRIDO  ALCANTARA</t>
  </si>
  <si>
    <t>BRIANNY DARIANA</t>
  </si>
  <si>
    <t>GUERRERO  VALDEZ</t>
  </si>
  <si>
    <t>EDUARLYN</t>
  </si>
  <si>
    <t>GUILAMO  JIMENEZ</t>
  </si>
  <si>
    <t>WILKINS JAVIER</t>
  </si>
  <si>
    <t>JAQUEZ  JOSE</t>
  </si>
  <si>
    <t>LESLIE MICHELLE</t>
  </si>
  <si>
    <t>JEAN  BAPTISTE</t>
  </si>
  <si>
    <t>WITHNEY KENNETT Y.</t>
  </si>
  <si>
    <t>MEJIA  CASTRO</t>
  </si>
  <si>
    <t>VISMEIRYS</t>
  </si>
  <si>
    <t>MONDACA HENRIQUEZ</t>
  </si>
  <si>
    <t>MILEINY TATIANA</t>
  </si>
  <si>
    <t>NIEVES TELEMIN</t>
  </si>
  <si>
    <t>KEVIN DANIEL</t>
  </si>
  <si>
    <t>PAREDES  DEL ROSARIO</t>
  </si>
  <si>
    <t>JOSEPH SEBASTIAN</t>
  </si>
  <si>
    <t xml:space="preserve">PEREZ   CORDERO </t>
  </si>
  <si>
    <t>KATELYN YULEISI</t>
  </si>
  <si>
    <t>PILIER  MERCEDES</t>
  </si>
  <si>
    <t>ASHLEY</t>
  </si>
  <si>
    <t>Direcc</t>
  </si>
  <si>
    <t>POLANCO  SANTANA</t>
  </si>
  <si>
    <t>JEISELL ALEXANDER</t>
  </si>
  <si>
    <t>tarde</t>
  </si>
  <si>
    <t>RIJO  LOPEZ</t>
  </si>
  <si>
    <t>JOSUE</t>
  </si>
  <si>
    <t>RIVERA  MERCEDES</t>
  </si>
  <si>
    <t>WALESSA</t>
  </si>
  <si>
    <t>RODRIGUEZ  DE LA CRUZ</t>
  </si>
  <si>
    <t>AMY  NICOLE</t>
  </si>
  <si>
    <t>RODRIGUEZ  RIJO</t>
  </si>
  <si>
    <t>EMILY SOPHIA</t>
  </si>
  <si>
    <t>ROSADO  PACHE</t>
  </si>
  <si>
    <t>SOENNY LUCIA</t>
  </si>
  <si>
    <t>SABINO  GUERRERO</t>
  </si>
  <si>
    <t>ANNIA ELIZABETH</t>
  </si>
  <si>
    <t>MADELYN ESTHER</t>
  </si>
  <si>
    <t>SANCHEZ  SURIEL</t>
  </si>
  <si>
    <t>PERLA MARIE</t>
  </si>
  <si>
    <t>HEALEY MICHELLE</t>
  </si>
  <si>
    <t>SANTANA  JIMENEZ</t>
  </si>
  <si>
    <t>MINORKIS SOFIA</t>
  </si>
  <si>
    <t>Vacío</t>
  </si>
  <si>
    <t>SEVERINO  SANCHEZ</t>
  </si>
  <si>
    <t>HILLARY CAMILA</t>
  </si>
  <si>
    <t>SEVERINO  UREÑA</t>
  </si>
  <si>
    <t>DERELYS</t>
  </si>
  <si>
    <t>SOLER  GRULLA</t>
  </si>
  <si>
    <t>FRAUNY</t>
  </si>
  <si>
    <t>SOLER  MELO</t>
  </si>
  <si>
    <t>ORMANDY MANUEL</t>
  </si>
  <si>
    <t>SOLIMAN  LOPEZ</t>
  </si>
  <si>
    <t>ESTENYELI</t>
  </si>
  <si>
    <t>TAVREZ  BAEZ</t>
  </si>
  <si>
    <t>WILNEIRY NOHELY</t>
  </si>
  <si>
    <t>vacio</t>
  </si>
  <si>
    <t>Soo tiene del p1</t>
  </si>
  <si>
    <t>VALDIVIEZO  MEJIAS</t>
  </si>
  <si>
    <t>GEONNIEL ALEJANDRO</t>
  </si>
  <si>
    <t>VASQUEZ  RAMIREZ</t>
  </si>
  <si>
    <t>ASHLYN ESTHERFI</t>
  </si>
  <si>
    <t xml:space="preserve">Yelenny Ester vargas </t>
  </si>
  <si>
    <t>Ojo 21 induismo</t>
  </si>
  <si>
    <t xml:space="preserve">Religion </t>
  </si>
  <si>
    <t>c</t>
  </si>
  <si>
    <t xml:space="preserve">Secta </t>
  </si>
  <si>
    <t>C</t>
  </si>
  <si>
    <t>Doctrina</t>
  </si>
  <si>
    <t>A Creencias</t>
  </si>
  <si>
    <t>Fe</t>
  </si>
  <si>
    <t xml:space="preserve">Teoria subjetiva </t>
  </si>
  <si>
    <t>A Psicolog</t>
  </si>
  <si>
    <t xml:space="preserve">Monoteismo Or. </t>
  </si>
  <si>
    <t xml:space="preserve">B Crist. </t>
  </si>
  <si>
    <t xml:space="preserve">Monoteismo </t>
  </si>
  <si>
    <t xml:space="preserve">B un Dios </t>
  </si>
  <si>
    <t xml:space="preserve">Teista </t>
  </si>
  <si>
    <t xml:space="preserve">F </t>
  </si>
  <si>
    <t xml:space="preserve">Deista </t>
  </si>
  <si>
    <t>F</t>
  </si>
  <si>
    <t xml:space="preserve">Budismo </t>
  </si>
  <si>
    <t>No teista V</t>
  </si>
  <si>
    <t xml:space="preserve">Induismo </t>
  </si>
  <si>
    <t>Politeista A</t>
  </si>
  <si>
    <t xml:space="preserve">Judaísmo </t>
  </si>
  <si>
    <t>MOno A</t>
  </si>
  <si>
    <t xml:space="preserve">El islam es una religion: </t>
  </si>
  <si>
    <t xml:space="preserve">Monoteista </t>
  </si>
  <si>
    <t xml:space="preserve">Panteismo </t>
  </si>
  <si>
    <t>4to A Sec</t>
  </si>
  <si>
    <t>4TO A SECUNDARIA</t>
  </si>
  <si>
    <t xml:space="preserve"> Centro Educativo Cristiano Genesis</t>
  </si>
  <si>
    <t>30 oc</t>
  </si>
  <si>
    <t>Devocional en familia</t>
  </si>
  <si>
    <t>Disc.</t>
  </si>
  <si>
    <t>PC</t>
  </si>
  <si>
    <t>Perf</t>
  </si>
  <si>
    <t>TIC</t>
  </si>
  <si>
    <t>PV</t>
  </si>
  <si>
    <t>Recu</t>
  </si>
  <si>
    <t>Cuad</t>
  </si>
  <si>
    <t>Log</t>
  </si>
  <si>
    <t>Comn</t>
  </si>
  <si>
    <t>Devoci</t>
  </si>
  <si>
    <t>JUAN MARCOS</t>
  </si>
  <si>
    <t>GREGORY STEVEN</t>
  </si>
  <si>
    <t>CEDANO  SANTANA</t>
  </si>
  <si>
    <t>DARVEIMI ESTEFANIA</t>
  </si>
  <si>
    <t>COLOME  DELGADO</t>
  </si>
  <si>
    <t>AXEL</t>
  </si>
  <si>
    <t>CUEVAS  CASTILLO</t>
  </si>
  <si>
    <t xml:space="preserve">GENESIS ABIGAIL </t>
  </si>
  <si>
    <t>Dice que esta ej la dire</t>
  </si>
  <si>
    <t>DEL ROSARIO  ALCALA</t>
  </si>
  <si>
    <t>OMARYS YEINALIZ</t>
  </si>
  <si>
    <t>DEL ROSARIO  MARTINEZ</t>
  </si>
  <si>
    <t>JONAH</t>
  </si>
  <si>
    <t>DELGADO  NUÑEZ</t>
  </si>
  <si>
    <t>JUAN CARLOS</t>
  </si>
  <si>
    <t>DIAZ  BATHER</t>
  </si>
  <si>
    <t>BRIAN DANIEL</t>
  </si>
  <si>
    <t>MARIA REBECA</t>
  </si>
  <si>
    <t>ENCARNACION  MALDONADO</t>
  </si>
  <si>
    <t>ROSA YRIS</t>
  </si>
  <si>
    <t>ESPINOSA  SILVESTRE</t>
  </si>
  <si>
    <t>ANNY ELIZABETH</t>
  </si>
  <si>
    <t>FERRERAS  MARTINEZ</t>
  </si>
  <si>
    <t>MARIA ROSA</t>
  </si>
  <si>
    <t>FULGAR  JIMENEZ</t>
  </si>
  <si>
    <t>FRAIMER</t>
  </si>
  <si>
    <t>GARCIA  HIDALGO</t>
  </si>
  <si>
    <t>ELODY ROSMEDDY</t>
  </si>
  <si>
    <t xml:space="preserve">HERRERA  CIPRIAN </t>
  </si>
  <si>
    <t>JENNIFER</t>
  </si>
  <si>
    <t xml:space="preserve">HIDALGO    NUÑEZ </t>
  </si>
  <si>
    <t xml:space="preserve">JISNEIRY  ALEXANDRA </t>
  </si>
  <si>
    <t>JIMENEZ  CASTILLO</t>
  </si>
  <si>
    <t>MAIKY STEVEN</t>
  </si>
  <si>
    <t>JIMENEZ  DE LOS SANTOS</t>
  </si>
  <si>
    <t>DARYBEL</t>
  </si>
  <si>
    <t>JIMENEZ  ESPIRITUSANTO</t>
  </si>
  <si>
    <t>YORLEY</t>
  </si>
  <si>
    <t>JIMENEZ  RAMIREZ</t>
  </si>
  <si>
    <t>KEILYN JAZMIN</t>
  </si>
  <si>
    <t>MARIA  TARRAZO</t>
  </si>
  <si>
    <t>ANGEL  GABRIEL</t>
  </si>
  <si>
    <t>MEJIA  DE LA ROSA</t>
  </si>
  <si>
    <t>JEREMY MIGUEL</t>
  </si>
  <si>
    <t>MELO  MERCEDES</t>
  </si>
  <si>
    <t>YIREISI</t>
  </si>
  <si>
    <t>NUÑEZ  CARPIO</t>
  </si>
  <si>
    <t>DANNA MIYARAY</t>
  </si>
  <si>
    <t>SCARLET MARIE</t>
  </si>
  <si>
    <t>NUÑEZ  SANTANA</t>
  </si>
  <si>
    <t>YAN  ISAAC</t>
  </si>
  <si>
    <t>PAULINO  SANCHEZ</t>
  </si>
  <si>
    <t>SEBASTIAN</t>
  </si>
  <si>
    <t>PEREZ  CAPELLAN</t>
  </si>
  <si>
    <t>ARLENY ESTHER</t>
  </si>
  <si>
    <t>RAMIREZ  ABREU</t>
  </si>
  <si>
    <t>JANEIRY</t>
  </si>
  <si>
    <t>REYES  MONTERO</t>
  </si>
  <si>
    <t>XAVIEL</t>
  </si>
  <si>
    <t>RIJO  PILIER</t>
  </si>
  <si>
    <t>GRISMAURELYS  MILAGROS</t>
  </si>
  <si>
    <t xml:space="preserve">RODRIGUEZ  </t>
  </si>
  <si>
    <t>DAVID</t>
  </si>
  <si>
    <t>SAHIRA</t>
  </si>
  <si>
    <t>SANCHEZ  DEL ROSARIO</t>
  </si>
  <si>
    <t>CRISPHER</t>
  </si>
  <si>
    <t>DIVELITH</t>
  </si>
  <si>
    <t>SANTANA  HERRERA</t>
  </si>
  <si>
    <t>ELIZABETH VICTORIA</t>
  </si>
  <si>
    <t>SILVESTRE  ORTIZ</t>
  </si>
  <si>
    <t>AIRIS</t>
  </si>
  <si>
    <t>SOLER  DE JESUS</t>
  </si>
  <si>
    <t>KRISS SHELAINE</t>
  </si>
  <si>
    <t>SOLIMAN  DE LOS SANTOS</t>
  </si>
  <si>
    <t>CRISBEILY</t>
  </si>
  <si>
    <t>SOSA  LIZARDO</t>
  </si>
  <si>
    <t>YERALD</t>
  </si>
  <si>
    <t xml:space="preserve">Imairis del Río </t>
  </si>
  <si>
    <t xml:space="preserve">Conversiones </t>
  </si>
  <si>
    <t>MIEMBROS</t>
  </si>
  <si>
    <t>4to B Sec</t>
  </si>
  <si>
    <t>Exonerados</t>
  </si>
  <si>
    <t>p4</t>
  </si>
  <si>
    <t>L1 y L2 Folleto</t>
  </si>
  <si>
    <t>23</t>
  </si>
  <si>
    <t>21</t>
  </si>
  <si>
    <t>10 feb</t>
  </si>
  <si>
    <t>Curra</t>
  </si>
  <si>
    <t>Pasos Devoci</t>
  </si>
  <si>
    <t>Expir</t>
  </si>
  <si>
    <t>Logica</t>
  </si>
  <si>
    <t>Comunic</t>
  </si>
  <si>
    <t>Cual</t>
  </si>
  <si>
    <t>ACEVEDO  GARCIA</t>
  </si>
  <si>
    <t>AMBAR DANIELA</t>
  </si>
  <si>
    <t>BELTRE  POLO</t>
  </si>
  <si>
    <t>NOELIA AMBAR</t>
  </si>
  <si>
    <t>CARABALLO  POCHET</t>
  </si>
  <si>
    <t xml:space="preserve">ERISON </t>
  </si>
  <si>
    <t>recup</t>
  </si>
  <si>
    <t>CARCIA  PEÑA</t>
  </si>
  <si>
    <t>LESLY</t>
  </si>
  <si>
    <t>CASTILLO   CARPIO</t>
  </si>
  <si>
    <t>MIGUEL ANGEL</t>
  </si>
  <si>
    <t>Se fi¿escaparon</t>
  </si>
  <si>
    <t>CASTRO  PEGUERO</t>
  </si>
  <si>
    <t>OMAIRIS JULIETTE</t>
  </si>
  <si>
    <t xml:space="preserve">CEDEÑO  </t>
  </si>
  <si>
    <t>ASHLY ROSANNA</t>
  </si>
  <si>
    <t>COLOME  TAVERAS</t>
  </si>
  <si>
    <t>ENGEL DANIEL</t>
  </si>
  <si>
    <t>DE  JESUS  MARTES</t>
  </si>
  <si>
    <t>YADIER</t>
  </si>
  <si>
    <t>DE LEON  OGANDO</t>
  </si>
  <si>
    <t>EDDY  ESTEBAN</t>
  </si>
  <si>
    <t>DIROCIE  FAÑA</t>
  </si>
  <si>
    <t>JUSTIN JOCIAS</t>
  </si>
  <si>
    <t>GARCIA  ROSARIO</t>
  </si>
  <si>
    <t>MARIA</t>
  </si>
  <si>
    <t>HERNANDEZ  LOPEZ</t>
  </si>
  <si>
    <t>RAUL ANTONIO</t>
  </si>
  <si>
    <t>Cambios</t>
  </si>
  <si>
    <t>LANTIGUA   GIL</t>
  </si>
  <si>
    <t xml:space="preserve">ROBERT MIGUEL </t>
  </si>
  <si>
    <t xml:space="preserve">MAGALLANES   MATEO </t>
  </si>
  <si>
    <t>ASHLEY ASHANTI</t>
  </si>
  <si>
    <t xml:space="preserve">MARINO  MORLA </t>
  </si>
  <si>
    <t>ANGELICA</t>
  </si>
  <si>
    <t>MARTE   GARCIA</t>
  </si>
  <si>
    <t>RADELKY</t>
  </si>
  <si>
    <t>MOYA  VENTURA</t>
  </si>
  <si>
    <t>YOLGLENNY  MANUELA</t>
  </si>
  <si>
    <t>PANIAGUA  VILORIO</t>
  </si>
  <si>
    <t>ROSMEIRY MICHEL</t>
  </si>
  <si>
    <t>PEREZ  HERRERA</t>
  </si>
  <si>
    <t>SAUL  ANTONIO</t>
  </si>
  <si>
    <t>RAMIREZ  GONZALEZ</t>
  </si>
  <si>
    <t>ROMNY JAVIER</t>
  </si>
  <si>
    <t>RAMOS  MOTA</t>
  </si>
  <si>
    <t>JASMEHIRI ARIELINA</t>
  </si>
  <si>
    <t>RIJO  CANELO</t>
  </si>
  <si>
    <t>LUZ ILANDY</t>
  </si>
  <si>
    <t xml:space="preserve"> </t>
  </si>
  <si>
    <t>Pend</t>
  </si>
  <si>
    <t>RIJO  NUÑEZ</t>
  </si>
  <si>
    <t>DARAY YUBELKIS</t>
  </si>
  <si>
    <t>RODRIGUEZ  JOISSAINT</t>
  </si>
  <si>
    <t>LUISA MARIA</t>
  </si>
  <si>
    <t>TINEO   DE LA ROSA</t>
  </si>
  <si>
    <t>DARLENIS ,MASSIEL</t>
  </si>
  <si>
    <t>Recua</t>
  </si>
  <si>
    <t>Carta ‘5</t>
  </si>
  <si>
    <t xml:space="preserve">Secretaria Consuelo </t>
  </si>
  <si>
    <t xml:space="preserve">Freidy Zorrilla R. </t>
  </si>
  <si>
    <t>Engel Peña Cuevas</t>
  </si>
  <si>
    <t>5to A Sec</t>
  </si>
  <si>
    <t>30 oct.</t>
  </si>
  <si>
    <t>Devoc Fami</t>
  </si>
  <si>
    <t xml:space="preserve">Versiones </t>
  </si>
  <si>
    <t>AT</t>
  </si>
  <si>
    <t>GLobaliz</t>
  </si>
  <si>
    <t>Texto</t>
  </si>
  <si>
    <t>2</t>
  </si>
  <si>
    <t>20</t>
  </si>
  <si>
    <t>Nov</t>
  </si>
  <si>
    <t>TEcn</t>
  </si>
  <si>
    <t>COnte</t>
  </si>
  <si>
    <t xml:space="preserve">Expresion </t>
  </si>
  <si>
    <t>Espiritual</t>
  </si>
  <si>
    <t>Rec.</t>
  </si>
  <si>
    <t>BRITO  CANARIO</t>
  </si>
  <si>
    <t>ASHLEY DIOMARLYN</t>
  </si>
  <si>
    <t>CARRASCO   DAVIS</t>
  </si>
  <si>
    <t>ARIANNY  ALEXANDRA</t>
  </si>
  <si>
    <t>CASTILLO  JIMENEZ</t>
  </si>
  <si>
    <t>NOELIA ISABEL</t>
  </si>
  <si>
    <t>CEDANO  GUILLERMO</t>
  </si>
  <si>
    <t>RANDALL</t>
  </si>
  <si>
    <t xml:space="preserve">CRUZ   CANDELARIO </t>
  </si>
  <si>
    <t xml:space="preserve">MADIAN SINAY </t>
  </si>
  <si>
    <t>DE LA ROSA  ROMAN</t>
  </si>
  <si>
    <t>SMERLIN</t>
  </si>
  <si>
    <t>DE LEON  MATEO</t>
  </si>
  <si>
    <t>ADRIAN ANDRES</t>
  </si>
  <si>
    <t>DE PEÑA  ALCANTARA</t>
  </si>
  <si>
    <t>LESLEY DIMARIS</t>
  </si>
  <si>
    <t>DEL ROSARIO  NUÑEZ</t>
  </si>
  <si>
    <t>CHRISTOPHER</t>
  </si>
  <si>
    <t>NOELIA</t>
  </si>
  <si>
    <t>GARCIA  HIRALDO</t>
  </si>
  <si>
    <t>JORDAN EMILIO</t>
  </si>
  <si>
    <t>FRANKLIN ISAIAS</t>
  </si>
  <si>
    <t>METZ  MEJIA</t>
  </si>
  <si>
    <t>ADIEL JEREMIC</t>
  </si>
  <si>
    <t>MORA  CEDEÑO</t>
  </si>
  <si>
    <t>KATHERINE LILIBETH</t>
  </si>
  <si>
    <t>pend</t>
  </si>
  <si>
    <t>ALEJANDRO</t>
  </si>
  <si>
    <t>NUÑEZ  POLO</t>
  </si>
  <si>
    <t>RAYFER  ADRIAN</t>
  </si>
  <si>
    <t>POZO  SANCHEZ</t>
  </si>
  <si>
    <t>BLEIDY SANTIAGO</t>
  </si>
  <si>
    <t>RECIO  DE JESUS</t>
  </si>
  <si>
    <t>FRAEMILY</t>
  </si>
  <si>
    <t>RIJO  REYES</t>
  </si>
  <si>
    <t>ROSLYN CRISMEL</t>
  </si>
  <si>
    <t>RODRIGUEZ  CARABALLO</t>
  </si>
  <si>
    <t>JOHANNA</t>
  </si>
  <si>
    <t xml:space="preserve">Pendiente </t>
  </si>
  <si>
    <t>RODRIGUEZ  DEL CARPIO</t>
  </si>
  <si>
    <t>ANGEL MIGUEL</t>
  </si>
  <si>
    <t>Rea.</t>
  </si>
  <si>
    <t>RODRIGUEZ  DEL ROSARIO</t>
  </si>
  <si>
    <t>CLARIANNY</t>
  </si>
  <si>
    <t>ROSA  REMY</t>
  </si>
  <si>
    <t>JEFFERSON</t>
  </si>
  <si>
    <t>SABINO  CEDEÑO</t>
  </si>
  <si>
    <t>EDRIAN YERAULY</t>
  </si>
  <si>
    <t>SANTANA  CEBALLOS</t>
  </si>
  <si>
    <t>BAIRON EDUARDO</t>
  </si>
  <si>
    <t>SANTANA  CUETO</t>
  </si>
  <si>
    <t>JOSE GABRIEL</t>
  </si>
  <si>
    <t>SANTANA  SANTANA</t>
  </si>
  <si>
    <t>MABEL</t>
  </si>
  <si>
    <t>SATURRIA  MARTINEZ</t>
  </si>
  <si>
    <t>FLORIMEL</t>
  </si>
  <si>
    <t>ANABELYS</t>
  </si>
  <si>
    <t>TORRES  MONTILLA</t>
  </si>
  <si>
    <t>NASHLA MICHEL</t>
  </si>
  <si>
    <t>ZORRILLA  SANTANA</t>
  </si>
  <si>
    <t>ASAEL</t>
  </si>
  <si>
    <t xml:space="preserve">Raymer Aquiles Santos </t>
  </si>
  <si>
    <t>5to B Sec</t>
  </si>
  <si>
    <t>Exposicion</t>
  </si>
  <si>
    <t>COM</t>
  </si>
  <si>
    <t>27</t>
  </si>
  <si>
    <t>12 feb</t>
  </si>
  <si>
    <t>Eva Libros AT</t>
  </si>
  <si>
    <t>part</t>
  </si>
  <si>
    <t>COnt</t>
  </si>
  <si>
    <t>Expre</t>
  </si>
  <si>
    <t>ACEVEDO  CORDERO</t>
  </si>
  <si>
    <t>KARLENY ALTAGRACIA</t>
  </si>
  <si>
    <t>BONNET   DEPABLOS</t>
  </si>
  <si>
    <t>DALVIN DANIEL</t>
  </si>
  <si>
    <t>CEDEÑO  LORA</t>
  </si>
  <si>
    <t>AURA MARIA</t>
  </si>
  <si>
    <t>CEDEÑO  ROA</t>
  </si>
  <si>
    <t>DANIEL ELIAS</t>
  </si>
  <si>
    <t xml:space="preserve">CONCEPCION  </t>
  </si>
  <si>
    <t>MICAILY</t>
  </si>
  <si>
    <t>YULEIDY</t>
  </si>
  <si>
    <t>DE LA ROSA  DOROTEO</t>
  </si>
  <si>
    <t>OBBYS RAIDENNIS</t>
  </si>
  <si>
    <t>FELIX  BELEN</t>
  </si>
  <si>
    <t>ZULEINY ALTAGRACIA</t>
  </si>
  <si>
    <t>JIMENEZ  PIMENTEL</t>
  </si>
  <si>
    <t>JENSSY DINOY</t>
  </si>
  <si>
    <t>LOPEZ  GUERRERO</t>
  </si>
  <si>
    <t>SAMANTHA</t>
  </si>
  <si>
    <t xml:space="preserve">MARTINEZ   PACHE </t>
  </si>
  <si>
    <t>FRANDDAR</t>
  </si>
  <si>
    <t>MEJIA  GUERRERO</t>
  </si>
  <si>
    <t>EVA</t>
  </si>
  <si>
    <t>Eva ex</t>
  </si>
  <si>
    <t>MEJIA  PEGUERO</t>
  </si>
  <si>
    <t>FRANJERYS ABIGAIL</t>
  </si>
  <si>
    <t>PERALTA  DINO</t>
  </si>
  <si>
    <t>JOHENSY</t>
  </si>
  <si>
    <t>PEREZ  CEDANO</t>
  </si>
  <si>
    <t>ASHLEY CRISJEIRY</t>
  </si>
  <si>
    <t>FOLLETO LLENO</t>
  </si>
  <si>
    <t>PEÑA  CUEVAS</t>
  </si>
  <si>
    <t>ENYER</t>
  </si>
  <si>
    <t>ecup</t>
  </si>
  <si>
    <t>RIJO  CORDERO</t>
  </si>
  <si>
    <t>FAVI  NOEMI</t>
  </si>
  <si>
    <t>ROBLES  PERALTA</t>
  </si>
  <si>
    <t>RODRIGUEZ  MARTINEZ</t>
  </si>
  <si>
    <t>JOSEFRANK</t>
  </si>
  <si>
    <t>ROSARIO  MEDINA</t>
  </si>
  <si>
    <t>LISBELY</t>
  </si>
  <si>
    <t>Revi</t>
  </si>
  <si>
    <t>SANCHEZ  CALDERON</t>
  </si>
  <si>
    <t>KIMBERLY</t>
  </si>
  <si>
    <t>Solo Nt</t>
  </si>
  <si>
    <t xml:space="preserve">SANTANA  </t>
  </si>
  <si>
    <r>
      <rPr>
        <sz val="9"/>
        <color indexed="8"/>
        <rFont val="Arial"/>
      </rPr>
      <t xml:space="preserve"> </t>
    </r>
    <r>
      <rPr>
        <i val="1"/>
        <sz val="9"/>
        <color indexed="8"/>
        <rFont val="Arial"/>
      </rPr>
      <t>Biomas</t>
    </r>
  </si>
  <si>
    <t>SANTANA  DE LA CRUZ</t>
  </si>
  <si>
    <t>MARIANNY STEPHANIE</t>
  </si>
  <si>
    <t>Pp</t>
  </si>
  <si>
    <t>VICTOR ENMANUEL</t>
  </si>
  <si>
    <t xml:space="preserve">Revisar si se retiro </t>
  </si>
  <si>
    <t>Ruth ester</t>
  </si>
  <si>
    <t>Andrew</t>
  </si>
  <si>
    <t>6to Sec.</t>
  </si>
  <si>
    <t>5 marz</t>
  </si>
  <si>
    <t xml:space="preserve">Marca </t>
  </si>
  <si>
    <t>mercado</t>
  </si>
  <si>
    <t>Produc</t>
  </si>
  <si>
    <t xml:space="preserve">Presupuesto </t>
  </si>
  <si>
    <t>Dev</t>
  </si>
  <si>
    <t>Emprend.</t>
  </si>
  <si>
    <t>BAEZ  JIMENEZ</t>
  </si>
  <si>
    <t>ALMA LIZ</t>
  </si>
  <si>
    <t>Bebe suit</t>
  </si>
  <si>
    <t>AMBAR  NAOMY</t>
  </si>
  <si>
    <t>trensa</t>
  </si>
  <si>
    <t>BLANCO  SIVENGUEN</t>
  </si>
  <si>
    <t>FRANSHESCA</t>
  </si>
  <si>
    <t>papelerian</t>
  </si>
  <si>
    <t>CARPIO  DE LEON</t>
  </si>
  <si>
    <t>ELIANDY</t>
  </si>
  <si>
    <t xml:space="preserve">Artículos deportivos </t>
  </si>
  <si>
    <t>CEDANO  POUERIET</t>
  </si>
  <si>
    <t>YONFER</t>
  </si>
  <si>
    <t>EXCUSA ESPECIAL</t>
  </si>
  <si>
    <t xml:space="preserve">Empanada </t>
  </si>
  <si>
    <t>ATSAEL</t>
  </si>
  <si>
    <t>Pudim</t>
  </si>
  <si>
    <t>CUEVAS  PEREZ</t>
  </si>
  <si>
    <t>ESELY STEISY</t>
  </si>
  <si>
    <t>postre</t>
  </si>
  <si>
    <t>ASHLEY AINEK</t>
  </si>
  <si>
    <t>Arreglo de globos</t>
  </si>
  <si>
    <t>DEL ROSARIO  CARRASCO</t>
  </si>
  <si>
    <t>ANALY  LORENA</t>
  </si>
  <si>
    <t>Lavado y peinado</t>
  </si>
  <si>
    <t>FELIZ  LAMOUTH</t>
  </si>
  <si>
    <t>DANIELA STEPHANIE</t>
  </si>
  <si>
    <t xml:space="preserve">Danza accesorios cales </t>
  </si>
  <si>
    <t>GARRIDO  SANCHEZ</t>
  </si>
  <si>
    <t>ISMAEL</t>
  </si>
  <si>
    <t>Musica virt</t>
  </si>
  <si>
    <t>GUERRERO  JIMENEZ</t>
  </si>
  <si>
    <t>RICARDO ERNESTO</t>
  </si>
  <si>
    <t>Tutoria ,atematica</t>
  </si>
  <si>
    <t>GUERRERO  MERCEDES</t>
  </si>
  <si>
    <t>ADAM</t>
  </si>
  <si>
    <t>Perosnalizados de aceso</t>
  </si>
  <si>
    <t>HERRERA  CORDERO</t>
  </si>
  <si>
    <t>ANA IRIS</t>
  </si>
  <si>
    <t>galletas</t>
  </si>
  <si>
    <t>HERRERA  HERRERA</t>
  </si>
  <si>
    <t>RUTH  BEILYN</t>
  </si>
  <si>
    <t xml:space="preserve">Acesorios </t>
  </si>
  <si>
    <t>LOPEZ  ARECHE</t>
  </si>
  <si>
    <t>ADRIANELLY</t>
  </si>
  <si>
    <t xml:space="preserve">Accesorios </t>
  </si>
  <si>
    <t>LOPEZ  JAVALERA</t>
  </si>
  <si>
    <t>ERICK  DARLIN</t>
  </si>
  <si>
    <t xml:space="preserve">Pensando </t>
  </si>
  <si>
    <t>LUCIEN  MARTINEZ</t>
  </si>
  <si>
    <t>JESUS ANDRES</t>
  </si>
  <si>
    <t>dropshiping</t>
  </si>
  <si>
    <t>MARTINEZ  REYES</t>
  </si>
  <si>
    <t>JORDANY</t>
  </si>
  <si>
    <t>Impresión y digitalización de trabajo</t>
  </si>
  <si>
    <t>MERCEDES  CEDANO</t>
  </si>
  <si>
    <t>JOHANSEL</t>
  </si>
  <si>
    <t xml:space="preserve">Reventa de consola </t>
  </si>
  <si>
    <t>NUÑEZ  RIJO</t>
  </si>
  <si>
    <t>YERLIN</t>
  </si>
  <si>
    <t>perfume</t>
  </si>
  <si>
    <t>NUÑEZ  ROMAN</t>
  </si>
  <si>
    <t>EDWIN LOJARLY</t>
  </si>
  <si>
    <t>repuesto</t>
  </si>
  <si>
    <t>PACHE  ROSARIO</t>
  </si>
  <si>
    <t>ISAURY</t>
  </si>
  <si>
    <t>Colonias</t>
  </si>
  <si>
    <t>PEGUERO  DURAN</t>
  </si>
  <si>
    <t>DANISLEIDY</t>
  </si>
  <si>
    <t xml:space="preserve">Tareas </t>
  </si>
  <si>
    <t>PEREZ  SANTANA</t>
  </si>
  <si>
    <t>GERSON EMMANUEL</t>
  </si>
  <si>
    <t xml:space="preserve">Instrumentos musicales </t>
  </si>
  <si>
    <t xml:space="preserve">PILIER  </t>
  </si>
  <si>
    <t>GREY PALOMA</t>
  </si>
  <si>
    <t xml:space="preserve">Detalles del cabello </t>
  </si>
  <si>
    <t>PILIER  SANTANA</t>
  </si>
  <si>
    <t>CRISTOFER ALEJANDRO</t>
  </si>
  <si>
    <t>Pierna ojo</t>
  </si>
  <si>
    <t>Sublimacion</t>
  </si>
  <si>
    <t>POLANCO  JAVIER</t>
  </si>
  <si>
    <t>IREILYN</t>
  </si>
  <si>
    <t xml:space="preserve">Cambiar p2 </t>
  </si>
  <si>
    <t xml:space="preserve">Maquillaje sociales </t>
  </si>
  <si>
    <t>ZOE</t>
  </si>
  <si>
    <t>croochet</t>
  </si>
  <si>
    <t xml:space="preserve">RICHIEZ  </t>
  </si>
  <si>
    <t>MARILETH</t>
  </si>
  <si>
    <t>Nachos</t>
  </si>
  <si>
    <t>RIVERA  PEÑA</t>
  </si>
  <si>
    <t>PAOLA MICHELL</t>
  </si>
  <si>
    <t>brauni</t>
  </si>
  <si>
    <t>RODRIGUEZ  CEDEÑO</t>
  </si>
  <si>
    <t>MIRIANYI</t>
  </si>
  <si>
    <t xml:space="preserve">maquillaje </t>
  </si>
  <si>
    <t>MARLYN</t>
  </si>
  <si>
    <t xml:space="preserve">Reguera </t>
  </si>
  <si>
    <t>SALVADOR  FAMILIA</t>
  </si>
  <si>
    <t>LITZY MARIANNY</t>
  </si>
  <si>
    <t xml:space="preserve">Rollitos de canela </t>
  </si>
  <si>
    <t>SANTANA  ANTONIO</t>
  </si>
  <si>
    <t xml:space="preserve">Puesto de flam </t>
  </si>
  <si>
    <t>BRANLEY ALBERTO</t>
  </si>
  <si>
    <t>Musica</t>
  </si>
  <si>
    <t>SANTANA  FAMILIA</t>
  </si>
  <si>
    <t>WENDY REYNALDA</t>
  </si>
  <si>
    <t>Vota de helado</t>
  </si>
  <si>
    <t>JEREMY ISAAC</t>
  </si>
  <si>
    <t>Video juego</t>
  </si>
  <si>
    <t xml:space="preserve">SYLVINS  </t>
  </si>
  <si>
    <t>SCHAINA VOLSYNA</t>
  </si>
  <si>
    <t>Bisuteria</t>
  </si>
  <si>
    <t>VASQUEZ  PEREZ</t>
  </si>
  <si>
    <t>ROBIN  JESUS</t>
  </si>
  <si>
    <t>Brauni</t>
  </si>
  <si>
    <t xml:space="preserve">ZORRILLA  </t>
  </si>
  <si>
    <t>MARYORI ESTHEFANI</t>
  </si>
  <si>
    <t>Helado</t>
  </si>
</sst>
</file>

<file path=xl/styles.xml><?xml version="1.0" encoding="utf-8"?>
<styleSheet xmlns="http://schemas.openxmlformats.org/spreadsheetml/2006/main">
  <numFmts count="6">
    <numFmt numFmtId="0" formatCode="General"/>
    <numFmt numFmtId="59" formatCode="mmmm"/>
    <numFmt numFmtId="60" formatCode="d &quot;de&quot; mmmm"/>
    <numFmt numFmtId="61" formatCode="d mmm"/>
    <numFmt numFmtId="62" formatCode="mmm yy"/>
    <numFmt numFmtId="63" formatCode="d mmmm"/>
  </numFmts>
  <fonts count="16">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Calibri"/>
    </font>
    <font>
      <sz val="10"/>
      <color indexed="8"/>
      <name val="Calibri"/>
    </font>
    <font>
      <b val="1"/>
      <sz val="11"/>
      <color indexed="8"/>
      <name val="Calibri"/>
    </font>
    <font>
      <b val="1"/>
      <sz val="11"/>
      <color indexed="14"/>
      <name val="Calibri"/>
    </font>
    <font>
      <sz val="8"/>
      <color indexed="14"/>
      <name val="Calibri"/>
    </font>
    <font>
      <sz val="9"/>
      <color indexed="8"/>
      <name val="Arial"/>
    </font>
    <font>
      <b val="1"/>
      <sz val="9"/>
      <color indexed="14"/>
      <name val="Calibri"/>
    </font>
    <font>
      <b val="1"/>
      <sz val="12"/>
      <color indexed="8"/>
      <name val="Calibri"/>
    </font>
    <font>
      <b val="1"/>
      <sz val="22"/>
      <color indexed="8"/>
      <name val="Calibri"/>
    </font>
    <font>
      <i val="1"/>
      <sz val="9"/>
      <color indexed="8"/>
      <name val="Arial"/>
    </font>
  </fonts>
  <fills count="24">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
      <patternFill patternType="solid">
        <fgColor indexed="24"/>
        <bgColor auto="1"/>
      </patternFill>
    </fill>
    <fill>
      <patternFill patternType="solid">
        <fgColor indexed="25"/>
        <bgColor auto="1"/>
      </patternFill>
    </fill>
    <fill>
      <patternFill patternType="solid">
        <fgColor indexed="26"/>
        <bgColor auto="1"/>
      </patternFill>
    </fill>
    <fill>
      <patternFill patternType="solid">
        <fgColor indexed="27"/>
        <bgColor auto="1"/>
      </patternFill>
    </fill>
    <fill>
      <patternFill patternType="solid">
        <fgColor indexed="28"/>
        <bgColor auto="1"/>
      </patternFill>
    </fill>
    <fill>
      <patternFill patternType="solid">
        <fgColor indexed="29"/>
        <bgColor auto="1"/>
      </patternFill>
    </fill>
    <fill>
      <patternFill patternType="solid">
        <fgColor indexed="30"/>
        <bgColor auto="1"/>
      </patternFill>
    </fill>
    <fill>
      <patternFill patternType="solid">
        <fgColor indexed="31"/>
        <bgColor auto="1"/>
      </patternFill>
    </fill>
    <fill>
      <patternFill patternType="solid">
        <fgColor indexed="32"/>
        <bgColor auto="1"/>
      </patternFill>
    </fill>
    <fill>
      <gradientFill type="linear" degree="270">
        <stop position="0">
          <color rgb="ffdafea4"/>
        </stop>
        <stop position="0.35">
          <color rgb="ffe4fdbf"/>
        </stop>
        <stop position="1">
          <color rgb="fff4fee5"/>
        </stop>
      </gradientFill>
    </fill>
  </fills>
  <borders count="83">
    <border>
      <left/>
      <right/>
      <top/>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8"/>
      </bottom>
      <diagonal/>
    </border>
    <border>
      <left/>
      <right/>
      <top style="thin">
        <color indexed="13"/>
      </top>
      <bottom style="thin">
        <color indexed="8"/>
      </bottom>
      <diagonal/>
    </border>
    <border>
      <left/>
      <right/>
      <top style="thin">
        <color indexed="8"/>
      </top>
      <bottom/>
      <diagonal/>
    </border>
    <border>
      <left/>
      <right/>
      <top style="thin">
        <color indexed="13"/>
      </top>
      <bottom/>
      <diagonal/>
    </border>
    <border>
      <left/>
      <right style="thin">
        <color indexed="13"/>
      </right>
      <top style="thin">
        <color indexed="13"/>
      </top>
      <bottom style="thin">
        <color indexed="8"/>
      </bottom>
      <diagonal/>
    </border>
    <border>
      <left style="thin">
        <color indexed="13"/>
      </left>
      <right style="thin">
        <color indexed="13"/>
      </right>
      <top style="thin">
        <color indexed="13"/>
      </top>
      <bottom style="thin">
        <color indexed="14"/>
      </bottom>
      <diagonal/>
    </border>
    <border>
      <left style="thin">
        <color indexed="13"/>
      </left>
      <right style="thin">
        <color indexed="8"/>
      </right>
      <top style="thin">
        <color indexed="13"/>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right/>
      <top/>
      <bottom/>
      <diagonal/>
    </border>
    <border>
      <left/>
      <right/>
      <top/>
      <bottom style="thin">
        <color indexed="8"/>
      </bottom>
      <diagonal/>
    </border>
    <border>
      <left/>
      <right style="thin">
        <color indexed="8"/>
      </right>
      <top/>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4"/>
      </top>
      <bottom style="thin">
        <color indexed="14"/>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14"/>
      </left>
      <right style="thin">
        <color indexed="8"/>
      </right>
      <top style="thin">
        <color indexed="14"/>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13"/>
      </left>
      <right style="thin">
        <color indexed="8"/>
      </right>
      <top style="thin">
        <color indexed="13"/>
      </top>
      <bottom style="thin">
        <color indexed="13"/>
      </bottom>
      <diagonal/>
    </border>
    <border>
      <left style="thin">
        <color indexed="8"/>
      </left>
      <right style="thin">
        <color indexed="14"/>
      </right>
      <top style="thin">
        <color indexed="8"/>
      </top>
      <bottom style="thin">
        <color indexed="8"/>
      </bottom>
      <diagonal/>
    </border>
    <border>
      <left style="thin">
        <color indexed="14"/>
      </left>
      <right style="thin">
        <color indexed="8"/>
      </right>
      <top style="thin">
        <color indexed="8"/>
      </top>
      <bottom style="thin">
        <color indexed="14"/>
      </bottom>
      <diagonal/>
    </border>
    <border>
      <left style="thin">
        <color indexed="14"/>
      </left>
      <right style="thin">
        <color indexed="8"/>
      </right>
      <top style="thin">
        <color indexed="14"/>
      </top>
      <bottom style="thin">
        <color indexed="14"/>
      </bottom>
      <diagonal/>
    </border>
    <border>
      <left style="thin">
        <color indexed="13"/>
      </left>
      <right style="thin">
        <color indexed="8"/>
      </right>
      <top style="thin">
        <color indexed="13"/>
      </top>
      <bottom/>
      <diagonal/>
    </border>
    <border>
      <left style="thin">
        <color indexed="13"/>
      </left>
      <right/>
      <top/>
      <bottom style="thin">
        <color indexed="13"/>
      </bottom>
      <diagonal/>
    </border>
    <border>
      <left/>
      <right/>
      <top style="thin">
        <color indexed="8"/>
      </top>
      <bottom style="thin">
        <color indexed="13"/>
      </bottom>
      <diagonal/>
    </border>
    <border>
      <left/>
      <right/>
      <top style="thin">
        <color indexed="14"/>
      </top>
      <bottom style="thin">
        <color indexed="13"/>
      </bottom>
      <diagonal/>
    </border>
    <border>
      <left/>
      <right/>
      <top/>
      <bottom style="thin">
        <color indexed="13"/>
      </bottom>
      <diagonal/>
    </border>
    <border>
      <left/>
      <right style="thin">
        <color indexed="13"/>
      </right>
      <top style="thin">
        <color indexed="8"/>
      </top>
      <bottom style="thin">
        <color indexed="13"/>
      </bottom>
      <diagonal/>
    </border>
    <border>
      <left style="thin">
        <color indexed="13"/>
      </left>
      <right style="thin">
        <color indexed="8"/>
      </right>
      <top style="thin">
        <color indexed="13"/>
      </top>
      <bottom style="thin">
        <color indexed="14"/>
      </bottom>
      <diagonal/>
    </border>
    <border>
      <left style="thin">
        <color indexed="13"/>
      </left>
      <right style="thin">
        <color indexed="8"/>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4"/>
      </top>
      <bottom style="thin">
        <color indexed="8"/>
      </bottom>
      <diagonal/>
    </border>
    <border>
      <left style="thin">
        <color indexed="13"/>
      </left>
      <right style="thin">
        <color indexed="14"/>
      </right>
      <top style="thin">
        <color indexed="13"/>
      </top>
      <bottom/>
      <diagonal/>
    </border>
    <border>
      <left style="thin">
        <color indexed="13"/>
      </left>
      <right/>
      <top/>
      <bottom/>
      <diagonal/>
    </border>
    <border>
      <left/>
      <right/>
      <top style="thin">
        <color indexed="14"/>
      </top>
      <bottom/>
      <diagonal/>
    </border>
    <border>
      <left/>
      <right style="thin">
        <color indexed="8"/>
      </right>
      <top style="thin">
        <color indexed="8"/>
      </top>
      <bottom/>
      <diagonal/>
    </border>
    <border>
      <left style="thin">
        <color indexed="8"/>
      </left>
      <right/>
      <top style="thin">
        <color indexed="8"/>
      </top>
      <bottom/>
      <diagonal/>
    </border>
    <border>
      <left/>
      <right style="thin">
        <color indexed="13"/>
      </right>
      <top style="thin">
        <color indexed="8"/>
      </top>
      <bottom/>
      <diagonal/>
    </border>
    <border>
      <left/>
      <right style="thin">
        <color indexed="13"/>
      </right>
      <top/>
      <bottom/>
      <diagonal/>
    </border>
    <border>
      <left style="thin">
        <color indexed="8"/>
      </left>
      <right/>
      <top/>
      <bottom style="thin">
        <color indexed="13"/>
      </bottom>
      <diagonal/>
    </border>
    <border>
      <left/>
      <right style="thin">
        <color indexed="13"/>
      </right>
      <top/>
      <bottom style="thin">
        <color indexed="13"/>
      </bottom>
      <diagonal/>
    </border>
    <border>
      <left style="thin">
        <color indexed="14"/>
      </left>
      <right style="thin">
        <color indexed="8"/>
      </right>
      <top style="thin">
        <color indexed="8"/>
      </top>
      <bottom style="thin">
        <color indexed="8"/>
      </bottom>
      <diagonal/>
    </border>
    <border>
      <left/>
      <right/>
      <top style="thin">
        <color indexed="14"/>
      </top>
      <bottom style="thin">
        <color indexed="14"/>
      </bottom>
      <diagonal/>
    </border>
    <border>
      <left style="thin">
        <color indexed="14"/>
      </left>
      <right style="thin">
        <color indexed="14"/>
      </right>
      <top style="thin">
        <color indexed="8"/>
      </top>
      <bottom style="thin">
        <color indexed="8"/>
      </bottom>
      <diagonal/>
    </border>
    <border>
      <left style="thin">
        <color indexed="8"/>
      </left>
      <right style="thin">
        <color indexed="8"/>
      </right>
      <top style="thin">
        <color indexed="14"/>
      </top>
      <bottom style="thin">
        <color indexed="8"/>
      </bottom>
      <diagonal/>
    </border>
    <border>
      <left style="thin">
        <color indexed="13"/>
      </left>
      <right style="thin">
        <color indexed="8"/>
      </right>
      <top style="thin">
        <color indexed="14"/>
      </top>
      <bottom style="thin">
        <color indexed="13"/>
      </bottom>
      <diagonal/>
    </border>
    <border>
      <left style="thin">
        <color indexed="8"/>
      </left>
      <right style="thin">
        <color indexed="8"/>
      </right>
      <top style="thin">
        <color indexed="8"/>
      </top>
      <bottom style="thin">
        <color indexed="13"/>
      </bottom>
      <diagonal/>
    </border>
    <border>
      <left style="thin">
        <color indexed="14"/>
      </left>
      <right/>
      <top style="thin">
        <color indexed="8"/>
      </top>
      <bottom style="thin">
        <color indexed="8"/>
      </bottom>
      <diagonal/>
    </border>
    <border>
      <left style="thin">
        <color indexed="13"/>
      </left>
      <right/>
      <top style="thin">
        <color indexed="13"/>
      </top>
      <bottom/>
      <diagonal/>
    </border>
    <border>
      <left/>
      <right style="thin">
        <color indexed="8"/>
      </right>
      <top style="thin">
        <color indexed="13"/>
      </top>
      <bottom/>
      <diagonal/>
    </border>
    <border>
      <left style="thin">
        <color indexed="14"/>
      </left>
      <right/>
      <top/>
      <bottom/>
      <diagonal/>
    </border>
    <border>
      <left style="thin">
        <color indexed="13"/>
      </left>
      <right/>
      <top style="thin">
        <color indexed="8"/>
      </top>
      <bottom style="thin">
        <color indexed="14"/>
      </bottom>
      <diagonal/>
    </border>
    <border>
      <left/>
      <right style="thin">
        <color indexed="8"/>
      </right>
      <top style="thin">
        <color indexed="8"/>
      </top>
      <bottom style="thin">
        <color indexed="14"/>
      </bottom>
      <diagonal/>
    </border>
    <border>
      <left style="thin">
        <color indexed="14"/>
      </left>
      <right style="thin">
        <color indexed="14"/>
      </right>
      <top style="thin">
        <color indexed="8"/>
      </top>
      <bottom/>
      <diagonal/>
    </border>
    <border>
      <left style="thin">
        <color indexed="8"/>
      </left>
      <right style="thin">
        <color indexed="8"/>
      </right>
      <top style="thin">
        <color indexed="8"/>
      </top>
      <bottom style="thin">
        <color indexed="14"/>
      </bottom>
      <diagonal/>
    </border>
    <border>
      <left style="thin">
        <color indexed="8"/>
      </left>
      <right/>
      <top style="thin">
        <color indexed="8"/>
      </top>
      <bottom style="thin">
        <color indexed="14"/>
      </bottom>
      <diagonal/>
    </border>
    <border>
      <left/>
      <right style="thin">
        <color indexed="14"/>
      </right>
      <top style="thin">
        <color indexed="8"/>
      </top>
      <bottom style="thin">
        <color indexed="14"/>
      </bottom>
      <diagonal/>
    </border>
    <border>
      <left style="thin">
        <color indexed="14"/>
      </left>
      <right style="thin">
        <color indexed="14"/>
      </right>
      <top style="thin">
        <color indexed="8"/>
      </top>
      <bottom style="thin">
        <color indexed="14"/>
      </bottom>
      <diagonal/>
    </border>
    <border>
      <left style="thin">
        <color indexed="14"/>
      </left>
      <right style="thin">
        <color indexed="14"/>
      </right>
      <top/>
      <bottom/>
      <diagonal/>
    </border>
    <border>
      <left style="thin">
        <color indexed="8"/>
      </left>
      <right style="thin">
        <color indexed="8"/>
      </right>
      <top style="thin">
        <color indexed="14"/>
      </top>
      <bottom style="thin">
        <color indexed="14"/>
      </bottom>
      <diagonal/>
    </border>
    <border>
      <left style="thin">
        <color indexed="8"/>
      </left>
      <right style="thin">
        <color indexed="14"/>
      </right>
      <top style="thin">
        <color indexed="14"/>
      </top>
      <bottom style="thin">
        <color indexed="14"/>
      </bottom>
      <diagonal/>
    </border>
    <border>
      <left style="thin">
        <color indexed="14"/>
      </left>
      <right style="thin">
        <color indexed="14"/>
      </right>
      <top/>
      <bottom style="thin">
        <color indexed="14"/>
      </bottom>
      <diagonal/>
    </border>
    <border>
      <left style="thin">
        <color indexed="8"/>
      </left>
      <right style="thin">
        <color indexed="14"/>
      </right>
      <top style="thin">
        <color indexed="14"/>
      </top>
      <bottom style="thin">
        <color indexed="8"/>
      </bottom>
      <diagonal/>
    </border>
    <border>
      <left/>
      <right style="thin">
        <color indexed="13"/>
      </right>
      <top style="thin">
        <color indexed="13"/>
      </top>
      <bottom/>
      <diagonal/>
    </border>
    <border>
      <left style="thin">
        <color indexed="8"/>
      </left>
      <right style="thin">
        <color indexed="13"/>
      </right>
      <top/>
      <bottom/>
      <diagonal/>
    </border>
    <border>
      <left style="thin">
        <color indexed="14"/>
      </left>
      <right style="thin">
        <color indexed="13"/>
      </right>
      <top style="thin">
        <color indexed="14"/>
      </top>
      <bottom style="thin">
        <color indexed="8"/>
      </bottom>
      <diagonal/>
    </border>
    <border>
      <left style="thin">
        <color indexed="13"/>
      </left>
      <right style="thin">
        <color indexed="14"/>
      </right>
      <top style="thin">
        <color indexed="13"/>
      </top>
      <bottom style="thin">
        <color indexed="8"/>
      </bottom>
      <diagonal/>
    </border>
    <border>
      <left/>
      <right style="thin">
        <color indexed="14"/>
      </right>
      <top/>
      <bottom/>
      <diagonal/>
    </border>
    <border>
      <left/>
      <right style="thin">
        <color indexed="8"/>
      </right>
      <top/>
      <bottom style="thin">
        <color indexed="13"/>
      </bottom>
      <diagonal/>
    </border>
    <border>
      <left style="thin">
        <color indexed="13"/>
      </left>
      <right style="thin">
        <color indexed="8"/>
      </right>
      <top style="thin">
        <color indexed="14"/>
      </top>
      <bottom style="thin">
        <color indexed="8"/>
      </bottom>
      <diagonal/>
    </border>
    <border>
      <left style="thin">
        <color indexed="14"/>
      </left>
      <right/>
      <top style="thin">
        <color indexed="14"/>
      </top>
      <bottom style="thin">
        <color indexed="14"/>
      </bottom>
      <diagonal/>
    </border>
    <border>
      <left style="thin">
        <color indexed="8"/>
      </left>
      <right/>
      <top style="thin">
        <color indexed="14"/>
      </top>
      <bottom style="thin">
        <color indexed="8"/>
      </bottom>
      <diagonal/>
    </border>
    <border>
      <left/>
      <right/>
      <top style="thin">
        <color indexed="14"/>
      </top>
      <bottom style="thin">
        <color indexed="8"/>
      </bottom>
      <diagonal/>
    </border>
    <border>
      <left style="thin">
        <color indexed="13"/>
      </left>
      <right style="thin">
        <color indexed="8"/>
      </right>
      <top/>
      <bottom/>
      <diagonal/>
    </border>
    <border>
      <left style="thin">
        <color indexed="14"/>
      </left>
      <right/>
      <top style="thin">
        <color indexed="8"/>
      </top>
      <bottom/>
      <diagonal/>
    </border>
  </borders>
  <cellStyleXfs count="1">
    <xf numFmtId="0" fontId="0" applyNumberFormat="0" applyFont="1" applyFill="0" applyBorder="0" applyAlignment="1" applyProtection="0">
      <alignment vertical="bottom"/>
    </xf>
  </cellStyleXfs>
  <cellXfs count="341">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1" applyNumberFormat="1" applyFont="1" applyFill="1" applyBorder="1" applyAlignment="1" applyProtection="0">
      <alignment vertical="bottom"/>
    </xf>
    <xf numFmtId="49" fontId="0" fillId="4" borderId="2" applyNumberFormat="1" applyFont="1" applyFill="1" applyBorder="1" applyAlignment="1" applyProtection="0">
      <alignment horizontal="center" vertical="bottom"/>
    </xf>
    <xf numFmtId="0" fontId="0" fillId="4" borderId="3" applyNumberFormat="0" applyFont="1" applyFill="1" applyBorder="1" applyAlignment="1" applyProtection="0">
      <alignment horizontal="center" vertical="bottom"/>
    </xf>
    <xf numFmtId="0" fontId="0" fillId="4" borderId="4"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0" fontId="0" fillId="4" borderId="7" applyNumberFormat="0" applyFont="1" applyFill="1" applyBorder="1" applyAlignment="1" applyProtection="0">
      <alignment vertical="bottom"/>
    </xf>
    <xf numFmtId="0" fontId="6" fillId="4" borderId="8" applyNumberFormat="0" applyFont="1" applyFill="1" applyBorder="1" applyAlignment="1" applyProtection="0">
      <alignment vertical="bottom"/>
    </xf>
    <xf numFmtId="0" fontId="7" fillId="4" borderId="9" applyNumberFormat="1" applyFont="1" applyFill="1" applyBorder="1" applyAlignment="1" applyProtection="0">
      <alignment vertical="center"/>
    </xf>
    <xf numFmtId="0" fontId="0" fillId="4" borderId="10" applyNumberFormat="0" applyFont="1" applyFill="1" applyBorder="1" applyAlignment="1" applyProtection="0">
      <alignment vertical="bottom"/>
    </xf>
    <xf numFmtId="49" fontId="8" fillId="4" borderId="11" applyNumberFormat="1" applyFont="1" applyFill="1" applyBorder="1" applyAlignment="1" applyProtection="0">
      <alignment horizontal="center" vertical="bottom"/>
    </xf>
    <xf numFmtId="0" fontId="8" fillId="4" borderId="12" applyNumberFormat="0" applyFont="1" applyFill="1" applyBorder="1" applyAlignment="1" applyProtection="0">
      <alignment horizontal="center" vertical="bottom"/>
    </xf>
    <xf numFmtId="0" fontId="8" fillId="4" borderId="13" applyNumberFormat="0" applyFont="1" applyFill="1" applyBorder="1" applyAlignment="1" applyProtection="0">
      <alignment horizontal="center" vertical="bottom"/>
    </xf>
    <xf numFmtId="0" fontId="8" fillId="4" borderId="14" applyNumberFormat="0" applyFont="1" applyFill="1" applyBorder="1" applyAlignment="1" applyProtection="0">
      <alignment horizontal="center" vertical="bottom"/>
    </xf>
    <xf numFmtId="0" fontId="0" fillId="4" borderId="15" applyNumberFormat="0"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49" fontId="0" fillId="4" borderId="9" applyNumberFormat="1" applyFont="1" applyFill="1" applyBorder="1" applyAlignment="1" applyProtection="0">
      <alignment horizontal="center" vertical="center" wrapText="1"/>
    </xf>
    <xf numFmtId="0" fontId="0" fillId="4" borderId="9" applyNumberFormat="0" applyFont="1" applyFill="1" applyBorder="1" applyAlignment="1" applyProtection="0">
      <alignment horizontal="center" vertical="center" wrapText="1"/>
    </xf>
    <xf numFmtId="0" fontId="0" fillId="4" borderId="14" applyNumberFormat="0" applyFont="1" applyFill="1" applyBorder="1" applyAlignment="1" applyProtection="0">
      <alignment vertical="bottom"/>
    </xf>
    <xf numFmtId="49" fontId="0" fillId="4" borderId="9" applyNumberFormat="1" applyFont="1" applyFill="1" applyBorder="1" applyAlignment="1" applyProtection="0">
      <alignment horizontal="center" vertical="bottom"/>
    </xf>
    <xf numFmtId="0" fontId="0" fillId="4" borderId="9" applyNumberFormat="0" applyFont="1" applyFill="1" applyBorder="1" applyAlignment="1" applyProtection="0">
      <alignment horizontal="center" vertical="bottom"/>
    </xf>
    <xf numFmtId="0" fontId="0" fillId="4" borderId="18" applyNumberFormat="1" applyFont="1" applyFill="1" applyBorder="1" applyAlignment="1" applyProtection="0">
      <alignment vertical="bottom"/>
    </xf>
    <xf numFmtId="0" fontId="0" fillId="4" borderId="19" applyNumberFormat="0" applyFont="1" applyFill="1" applyBorder="1" applyAlignment="1" applyProtection="0">
      <alignment vertical="bottom"/>
    </xf>
    <xf numFmtId="49" fontId="6" fillId="4" borderId="20" applyNumberFormat="1" applyFont="1" applyFill="1" applyBorder="1" applyAlignment="1" applyProtection="0">
      <alignment vertical="bottom"/>
    </xf>
    <xf numFmtId="0" fontId="0" fillId="4" borderId="21" applyNumberFormat="0" applyFont="1" applyFill="1" applyBorder="1" applyAlignment="1" applyProtection="0">
      <alignment vertical="bottom"/>
    </xf>
    <xf numFmtId="0" fontId="8" fillId="4" borderId="9" applyNumberFormat="0" applyFont="1" applyFill="1" applyBorder="1" applyAlignment="1" applyProtection="0">
      <alignment vertical="bottom"/>
    </xf>
    <xf numFmtId="49" fontId="8" fillId="4" borderId="9" applyNumberFormat="1" applyFont="1" applyFill="1" applyBorder="1" applyAlignment="1" applyProtection="0">
      <alignment vertical="bottom"/>
    </xf>
    <xf numFmtId="0" fontId="8" fillId="4" borderId="14" applyNumberFormat="0" applyFont="1" applyFill="1" applyBorder="1" applyAlignment="1" applyProtection="0">
      <alignment vertical="bottom"/>
    </xf>
    <xf numFmtId="49" fontId="6" fillId="5" borderId="11" applyNumberFormat="1" applyFont="1" applyFill="1" applyBorder="1" applyAlignment="1" applyProtection="0">
      <alignment horizontal="center" vertical="center"/>
    </xf>
    <xf numFmtId="0" fontId="6" fillId="5" borderId="12" applyNumberFormat="0" applyFont="1" applyFill="1" applyBorder="1" applyAlignment="1" applyProtection="0">
      <alignment horizontal="center" vertical="center"/>
    </xf>
    <xf numFmtId="0" fontId="6" fillId="5" borderId="13" applyNumberFormat="0" applyFont="1" applyFill="1" applyBorder="1" applyAlignment="1" applyProtection="0">
      <alignment horizontal="center" vertical="center"/>
    </xf>
    <xf numFmtId="49" fontId="6" fillId="6" borderId="11" applyNumberFormat="1" applyFont="1" applyFill="1" applyBorder="1" applyAlignment="1" applyProtection="0">
      <alignment horizontal="center" vertical="center" wrapText="1"/>
    </xf>
    <xf numFmtId="0" fontId="6" fillId="6" borderId="12" applyNumberFormat="0" applyFont="1" applyFill="1" applyBorder="1" applyAlignment="1" applyProtection="0">
      <alignment horizontal="center" vertical="center" wrapText="1"/>
    </xf>
    <xf numFmtId="0" fontId="6" fillId="6" borderId="13" applyNumberFormat="0" applyFont="1" applyFill="1" applyBorder="1" applyAlignment="1" applyProtection="0">
      <alignment horizontal="center" vertical="center" wrapText="1"/>
    </xf>
    <xf numFmtId="0" fontId="6" fillId="4" borderId="14" applyNumberFormat="0" applyFont="1" applyFill="1" applyBorder="1" applyAlignment="1" applyProtection="0">
      <alignment horizontal="center" vertical="center" wrapText="1"/>
    </xf>
    <xf numFmtId="49" fontId="6" fillId="7" borderId="11" applyNumberFormat="1" applyFont="1" applyFill="1" applyBorder="1" applyAlignment="1" applyProtection="0">
      <alignment horizontal="center" vertical="center" wrapText="1"/>
    </xf>
    <xf numFmtId="0" fontId="6" fillId="7" borderId="12" applyNumberFormat="0" applyFont="1" applyFill="1" applyBorder="1" applyAlignment="1" applyProtection="0">
      <alignment horizontal="center" vertical="center" wrapText="1"/>
    </xf>
    <xf numFmtId="0" fontId="6" fillId="7" borderId="13" applyNumberFormat="0" applyFont="1" applyFill="1" applyBorder="1" applyAlignment="1" applyProtection="0">
      <alignment horizontal="center" vertical="center" wrapText="1"/>
    </xf>
    <xf numFmtId="49" fontId="6" fillId="8" borderId="11" applyNumberFormat="1" applyFont="1" applyFill="1" applyBorder="1" applyAlignment="1" applyProtection="0">
      <alignment horizontal="center" vertical="center" wrapText="1"/>
    </xf>
    <xf numFmtId="0" fontId="6" fillId="8" borderId="12" applyNumberFormat="0" applyFont="1" applyFill="1" applyBorder="1" applyAlignment="1" applyProtection="0">
      <alignment horizontal="center" vertical="center" wrapText="1"/>
    </xf>
    <xf numFmtId="0" fontId="6" fillId="8" borderId="13" applyNumberFormat="0" applyFont="1" applyFill="1" applyBorder="1" applyAlignment="1" applyProtection="0">
      <alignment horizontal="center" vertical="center" wrapText="1"/>
    </xf>
    <xf numFmtId="49" fontId="0" fillId="9" borderId="9" applyNumberFormat="1" applyFont="1" applyFill="1" applyBorder="1" applyAlignment="1" applyProtection="0">
      <alignment horizontal="center" vertical="bottom" wrapText="1"/>
    </xf>
    <xf numFmtId="49" fontId="8" fillId="10" borderId="22" applyNumberFormat="1" applyFont="1" applyFill="1" applyBorder="1" applyAlignment="1" applyProtection="0">
      <alignment horizontal="center" vertical="bottom"/>
    </xf>
    <xf numFmtId="49" fontId="8" fillId="9" borderId="22" applyNumberFormat="1" applyFont="1" applyFill="1" applyBorder="1" applyAlignment="1" applyProtection="0">
      <alignment horizontal="center" vertical="bottom"/>
    </xf>
    <xf numFmtId="49" fontId="9" fillId="11" borderId="23" applyNumberFormat="1" applyFont="1" applyFill="1" applyBorder="1" applyAlignment="1" applyProtection="0">
      <alignment vertical="bottom"/>
    </xf>
    <xf numFmtId="49" fontId="9" fillId="11" borderId="9" applyNumberFormat="1" applyFont="1" applyFill="1" applyBorder="1" applyAlignment="1" applyProtection="0">
      <alignment vertical="bottom"/>
    </xf>
    <xf numFmtId="49" fontId="9" fillId="11" borderId="9" applyNumberFormat="1" applyFont="1" applyFill="1" applyBorder="1" applyAlignment="1" applyProtection="0">
      <alignment horizontal="center" vertical="bottom"/>
    </xf>
    <xf numFmtId="49" fontId="10" fillId="11" borderId="9" applyNumberFormat="1" applyFont="1" applyFill="1" applyBorder="1" applyAlignment="1" applyProtection="0">
      <alignment vertical="bottom"/>
    </xf>
    <xf numFmtId="0" fontId="0" fillId="11" borderId="9" applyNumberFormat="0" applyFont="1" applyFill="1" applyBorder="1" applyAlignment="1" applyProtection="0">
      <alignment vertical="bottom"/>
    </xf>
    <xf numFmtId="0" fontId="0" fillId="12" borderId="10"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49" fontId="0" fillId="11" borderId="9" applyNumberFormat="1" applyFont="1" applyFill="1" applyBorder="1" applyAlignment="1" applyProtection="0">
      <alignment vertical="bottom"/>
    </xf>
    <xf numFmtId="49" fontId="0" fillId="9" borderId="9" applyNumberFormat="1" applyFont="1" applyFill="1" applyBorder="1" applyAlignment="1" applyProtection="0">
      <alignment vertical="bottom"/>
    </xf>
    <xf numFmtId="0" fontId="0" fillId="4" borderId="22" applyNumberFormat="0" applyFont="1" applyFill="1" applyBorder="1" applyAlignment="1" applyProtection="0">
      <alignment vertical="bottom"/>
    </xf>
    <xf numFmtId="0" fontId="0" fillId="4" borderId="14" applyNumberFormat="0" applyFont="1" applyFill="1" applyBorder="1" applyAlignment="1" applyProtection="0">
      <alignment vertical="bottom" wrapText="1"/>
    </xf>
    <xf numFmtId="0" fontId="0" fillId="9" borderId="9" applyNumberFormat="0" applyFont="1" applyFill="1" applyBorder="1" applyAlignment="1" applyProtection="0">
      <alignment horizontal="center" vertical="bottom" wrapText="1"/>
    </xf>
    <xf numFmtId="0" fontId="8" fillId="10" borderId="25" applyNumberFormat="0" applyFont="1" applyFill="1" applyBorder="1" applyAlignment="1" applyProtection="0">
      <alignment horizontal="center" vertical="bottom"/>
    </xf>
    <xf numFmtId="0" fontId="8" fillId="9" borderId="25" applyNumberFormat="0" applyFont="1" applyFill="1" applyBorder="1" applyAlignment="1" applyProtection="0">
      <alignment horizontal="center" vertical="bottom"/>
    </xf>
    <xf numFmtId="0" fontId="0" fillId="4" borderId="26" applyNumberFormat="0" applyFont="1" applyFill="1" applyBorder="1" applyAlignment="1" applyProtection="0">
      <alignment vertical="bottom"/>
    </xf>
    <xf numFmtId="0" fontId="9" fillId="12" borderId="9" applyNumberFormat="1" applyFont="1" applyFill="1" applyBorder="1" applyAlignment="1" applyProtection="0">
      <alignment horizontal="center" vertical="center" wrapText="1" readingOrder="1"/>
    </xf>
    <xf numFmtId="49" fontId="11" fillId="4" borderId="9" applyNumberFormat="1" applyFont="1" applyFill="1" applyBorder="1" applyAlignment="1" applyProtection="0">
      <alignment horizontal="left" vertical="center" wrapText="1" readingOrder="1"/>
    </xf>
    <xf numFmtId="49" fontId="11" fillId="4" borderId="9" applyNumberFormat="1" applyFont="1" applyFill="1" applyBorder="1" applyAlignment="1" applyProtection="0">
      <alignment vertical="center" wrapText="1" readingOrder="1"/>
    </xf>
    <xf numFmtId="49" fontId="0" fillId="4" borderId="27" applyNumberFormat="1" applyFont="1" applyFill="1" applyBorder="1" applyAlignment="1" applyProtection="0">
      <alignment vertical="bottom"/>
    </xf>
    <xf numFmtId="0" fontId="9" fillId="12" borderId="28" applyNumberFormat="0" applyFont="1" applyFill="1" applyBorder="1" applyAlignment="1" applyProtection="0">
      <alignment vertical="bottom"/>
    </xf>
    <xf numFmtId="0" fontId="0" fillId="4" borderId="27"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fillId="12" borderId="9" applyNumberFormat="0" applyFont="1" applyFill="1" applyBorder="1" applyAlignment="1" applyProtection="0">
      <alignment vertical="bottom"/>
    </xf>
    <xf numFmtId="0" fontId="0" fillId="11" borderId="9" applyNumberFormat="1" applyFont="1" applyFill="1" applyBorder="1" applyAlignment="1" applyProtection="0">
      <alignment vertical="bottom"/>
    </xf>
    <xf numFmtId="0" fontId="12" fillId="12" borderId="9" applyNumberFormat="1" applyFont="1" applyFill="1" applyBorder="1" applyAlignment="1" applyProtection="0">
      <alignment horizontal="center" vertical="center" wrapText="1" readingOrder="1"/>
    </xf>
    <xf numFmtId="0" fontId="0" fillId="4" borderId="9" applyNumberFormat="1" applyFont="1" applyFill="1" applyBorder="1" applyAlignment="1" applyProtection="0">
      <alignment vertical="bottom"/>
    </xf>
    <xf numFmtId="0" fontId="8" fillId="9" borderId="9" applyNumberFormat="1" applyFont="1" applyFill="1" applyBorder="1" applyAlignment="1" applyProtection="0">
      <alignment vertical="bottom"/>
    </xf>
    <xf numFmtId="0" fontId="8" fillId="8" borderId="9" applyNumberFormat="1" applyFont="1" applyFill="1" applyBorder="1" applyAlignment="1" applyProtection="0">
      <alignment vertical="bottom"/>
    </xf>
    <xf numFmtId="0" fontId="9" fillId="12" borderId="29" applyNumberFormat="0" applyFont="1" applyFill="1" applyBorder="1" applyAlignment="1" applyProtection="0">
      <alignment vertical="bottom"/>
    </xf>
    <xf numFmtId="49" fontId="0" fillId="4" borderId="9" applyNumberFormat="1" applyFont="1" applyFill="1" applyBorder="1" applyAlignment="1" applyProtection="0">
      <alignment vertical="bottom"/>
    </xf>
    <xf numFmtId="0" fontId="0" fillId="4" borderId="30" applyNumberFormat="0" applyFont="1" applyFill="1" applyBorder="1" applyAlignment="1" applyProtection="0">
      <alignment vertical="bottom"/>
    </xf>
    <xf numFmtId="0" fontId="0" fillId="4" borderId="31" applyNumberFormat="0" applyFont="1" applyFill="1" applyBorder="1" applyAlignment="1" applyProtection="0">
      <alignment vertical="bottom"/>
    </xf>
    <xf numFmtId="0" fontId="0" fillId="4" borderId="32" applyNumberFormat="0" applyFont="1" applyFill="1" applyBorder="1" applyAlignment="1" applyProtection="0">
      <alignment vertical="bottom"/>
    </xf>
    <xf numFmtId="0" fontId="0" fillId="4" borderId="33" applyNumberFormat="0" applyFont="1" applyFill="1" applyBorder="1" applyAlignment="1" applyProtection="0">
      <alignment vertical="bottom"/>
    </xf>
    <xf numFmtId="0" fontId="0" fillId="4" borderId="34" applyNumberFormat="0" applyFont="1" applyFill="1" applyBorder="1" applyAlignment="1" applyProtection="0">
      <alignment vertical="bottom"/>
    </xf>
    <xf numFmtId="0" fontId="0" fillId="4" borderId="35"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5" applyNumberFormat="1" applyFont="1" applyFill="1" applyBorder="1" applyAlignment="1" applyProtection="0">
      <alignment vertical="bottom"/>
    </xf>
    <xf numFmtId="49" fontId="0" fillId="4" borderId="5" applyNumberFormat="1" applyFont="1" applyFill="1" applyBorder="1" applyAlignment="1" applyProtection="0">
      <alignment vertical="bottom"/>
    </xf>
    <xf numFmtId="0" fontId="6" fillId="4" borderId="36" applyNumberFormat="0" applyFont="1" applyFill="1" applyBorder="1" applyAlignment="1" applyProtection="0">
      <alignment vertical="bottom"/>
    </xf>
    <xf numFmtId="49" fontId="0" fillId="4" borderId="16" applyNumberFormat="1" applyFont="1" applyFill="1" applyBorder="1" applyAlignment="1" applyProtection="0">
      <alignment vertical="bottom"/>
    </xf>
    <xf numFmtId="0" fontId="0" fillId="4" borderId="16" applyNumberFormat="1" applyFont="1" applyFill="1" applyBorder="1" applyAlignment="1" applyProtection="0">
      <alignment vertical="bottom"/>
    </xf>
    <xf numFmtId="49" fontId="6" fillId="4" borderId="7" applyNumberFormat="1" applyFont="1" applyFill="1" applyBorder="1" applyAlignment="1" applyProtection="0">
      <alignment vertical="bottom"/>
    </xf>
    <xf numFmtId="0" fontId="0" fillId="4" borderId="37" applyNumberFormat="0" applyFont="1" applyFill="1" applyBorder="1" applyAlignment="1" applyProtection="0">
      <alignment vertical="bottom"/>
    </xf>
    <xf numFmtId="59" fontId="8" fillId="4" borderId="9" applyNumberFormat="1" applyFont="1" applyFill="1" applyBorder="1" applyAlignment="1" applyProtection="0">
      <alignment vertical="bottom"/>
    </xf>
    <xf numFmtId="60" fontId="8" fillId="4" borderId="9" applyNumberFormat="1" applyFont="1" applyFill="1" applyBorder="1" applyAlignment="1" applyProtection="0">
      <alignment vertical="bottom"/>
    </xf>
    <xf numFmtId="61" fontId="8" fillId="4" borderId="9" applyNumberFormat="1" applyFont="1" applyFill="1" applyBorder="1" applyAlignment="1" applyProtection="0">
      <alignment vertical="bottom"/>
    </xf>
    <xf numFmtId="49" fontId="9" fillId="11" borderId="38" applyNumberFormat="1" applyFont="1" applyFill="1" applyBorder="1" applyAlignment="1" applyProtection="0">
      <alignment vertical="bottom"/>
    </xf>
    <xf numFmtId="49" fontId="9" fillId="11" borderId="39" applyNumberFormat="1" applyFont="1" applyFill="1" applyBorder="1" applyAlignment="1" applyProtection="0">
      <alignment vertical="bottom"/>
    </xf>
    <xf numFmtId="62" fontId="0" fillId="11" borderId="9" applyNumberFormat="1" applyFont="1" applyFill="1" applyBorder="1" applyAlignment="1" applyProtection="0">
      <alignment vertical="bottom"/>
    </xf>
    <xf numFmtId="61" fontId="0" fillId="11" borderId="9" applyNumberFormat="1" applyFont="1" applyFill="1" applyBorder="1" applyAlignment="1" applyProtection="0">
      <alignment vertical="bottom"/>
    </xf>
    <xf numFmtId="0" fontId="0" fillId="4" borderId="18" applyNumberFormat="0" applyFont="1" applyFill="1" applyBorder="1" applyAlignment="1" applyProtection="0">
      <alignment vertical="bottom"/>
    </xf>
    <xf numFmtId="0" fontId="9" fillId="12" borderId="29" applyNumberFormat="1" applyFont="1" applyFill="1" applyBorder="1" applyAlignment="1" applyProtection="0">
      <alignment horizontal="center" vertical="center" wrapText="1" readingOrder="1"/>
    </xf>
    <xf numFmtId="49" fontId="9" fillId="12" borderId="28" applyNumberFormat="1" applyFont="1" applyFill="1" applyBorder="1" applyAlignment="1" applyProtection="0">
      <alignment vertical="bottom"/>
    </xf>
    <xf numFmtId="0" fontId="8" fillId="4" borderId="9" applyNumberFormat="1" applyFont="1" applyFill="1" applyBorder="1" applyAlignment="1" applyProtection="0">
      <alignment vertical="bottom"/>
    </xf>
    <xf numFmtId="0" fontId="0" fillId="4" borderId="25" applyNumberFormat="0" applyFont="1" applyFill="1" applyBorder="1" applyAlignment="1" applyProtection="0">
      <alignment vertical="bottom"/>
    </xf>
    <xf numFmtId="0" fontId="0" fillId="12" borderId="9" applyNumberFormat="1" applyFont="1" applyFill="1" applyBorder="1" applyAlignment="1" applyProtection="0">
      <alignment vertical="bottom"/>
    </xf>
    <xf numFmtId="0" fontId="13" fillId="12" borderId="9" applyNumberFormat="1" applyFont="1" applyFill="1" applyBorder="1" applyAlignment="1" applyProtection="0">
      <alignment vertical="bottom"/>
    </xf>
    <xf numFmtId="0" fontId="0" fillId="4" borderId="10" applyNumberFormat="1" applyFont="1" applyFill="1" applyBorder="1" applyAlignment="1" applyProtection="0">
      <alignment vertical="bottom"/>
    </xf>
    <xf numFmtId="49" fontId="9" fillId="12" borderId="29" applyNumberFormat="1" applyFont="1" applyFill="1" applyBorder="1" applyAlignment="1" applyProtection="0">
      <alignment vertical="bottom"/>
    </xf>
    <xf numFmtId="0" fontId="0" fillId="13" borderId="18" applyNumberFormat="0" applyFont="1" applyFill="1" applyBorder="1" applyAlignment="1" applyProtection="0">
      <alignment vertical="bottom"/>
    </xf>
    <xf numFmtId="0" fontId="9" fillId="13" borderId="29" applyNumberFormat="1" applyFont="1" applyFill="1" applyBorder="1" applyAlignment="1" applyProtection="0">
      <alignment horizontal="center" vertical="center" wrapText="1" readingOrder="1"/>
    </xf>
    <xf numFmtId="49" fontId="11" fillId="13" borderId="9" applyNumberFormat="1" applyFont="1" applyFill="1" applyBorder="1" applyAlignment="1" applyProtection="0">
      <alignment horizontal="left" vertical="center" wrapText="1" readingOrder="1"/>
    </xf>
    <xf numFmtId="49" fontId="11" fillId="13" borderId="9" applyNumberFormat="1" applyFont="1" applyFill="1" applyBorder="1" applyAlignment="1" applyProtection="0">
      <alignment vertical="center" wrapText="1" readingOrder="1"/>
    </xf>
    <xf numFmtId="49" fontId="0" fillId="13" borderId="27" applyNumberFormat="1" applyFont="1" applyFill="1" applyBorder="1" applyAlignment="1" applyProtection="0">
      <alignment vertical="bottom"/>
    </xf>
    <xf numFmtId="49" fontId="9" fillId="13" borderId="29" applyNumberFormat="1" applyFont="1" applyFill="1" applyBorder="1" applyAlignment="1" applyProtection="0">
      <alignment vertical="bottom"/>
    </xf>
    <xf numFmtId="0" fontId="0" fillId="13" borderId="27" applyNumberFormat="0" applyFont="1" applyFill="1" applyBorder="1" applyAlignment="1" applyProtection="0">
      <alignment vertical="bottom"/>
    </xf>
    <xf numFmtId="0" fontId="0" fillId="13" borderId="10" applyNumberFormat="0" applyFont="1" applyFill="1" applyBorder="1" applyAlignment="1" applyProtection="0">
      <alignment vertical="bottom"/>
    </xf>
    <xf numFmtId="0" fontId="0" fillId="13" borderId="10" applyNumberFormat="1" applyFont="1" applyFill="1" applyBorder="1" applyAlignment="1" applyProtection="0">
      <alignment vertical="bottom"/>
    </xf>
    <xf numFmtId="0" fontId="0" fillId="13" borderId="9" applyNumberFormat="1" applyFont="1" applyFill="1" applyBorder="1" applyAlignment="1" applyProtection="0">
      <alignment vertical="bottom"/>
    </xf>
    <xf numFmtId="0" fontId="0" fillId="13" borderId="9" applyNumberFormat="0" applyFont="1" applyFill="1" applyBorder="1" applyAlignment="1" applyProtection="0">
      <alignment vertical="bottom"/>
    </xf>
    <xf numFmtId="0" fontId="12" fillId="13" borderId="9" applyNumberFormat="1" applyFont="1" applyFill="1" applyBorder="1" applyAlignment="1" applyProtection="0">
      <alignment horizontal="center" vertical="center" wrapText="1" readingOrder="1"/>
    </xf>
    <xf numFmtId="0" fontId="8" fillId="13" borderId="9" applyNumberFormat="1" applyFont="1" applyFill="1" applyBorder="1" applyAlignment="1" applyProtection="0">
      <alignment vertical="bottom"/>
    </xf>
    <xf numFmtId="49" fontId="0" fillId="13" borderId="9" applyNumberFormat="1" applyFont="1" applyFill="1" applyBorder="1" applyAlignment="1" applyProtection="0">
      <alignment vertical="bottom"/>
    </xf>
    <xf numFmtId="0" fontId="13" fillId="14" borderId="9" applyNumberFormat="1" applyFont="1" applyFill="1" applyBorder="1" applyAlignment="1" applyProtection="0">
      <alignment vertical="bottom"/>
    </xf>
    <xf numFmtId="49" fontId="0" fillId="4" borderId="10" applyNumberFormat="1" applyFont="1" applyFill="1" applyBorder="1" applyAlignment="1" applyProtection="0">
      <alignment vertical="bottom"/>
    </xf>
    <xf numFmtId="49" fontId="0" fillId="12" borderId="9" applyNumberFormat="1" applyFont="1" applyFill="1" applyBorder="1" applyAlignment="1" applyProtection="0">
      <alignment vertical="bottom"/>
    </xf>
    <xf numFmtId="49" fontId="0" fillId="15" borderId="9" applyNumberFormat="1" applyFont="1" applyFill="1" applyBorder="1" applyAlignment="1" applyProtection="0">
      <alignment vertical="bottom"/>
    </xf>
    <xf numFmtId="0" fontId="0" fillId="4" borderId="11" applyNumberFormat="1" applyFont="1" applyFill="1" applyBorder="1" applyAlignment="1" applyProtection="0">
      <alignment vertical="bottom"/>
    </xf>
    <xf numFmtId="0" fontId="0" fillId="4" borderId="12" applyNumberFormat="1" applyFont="1" applyFill="1" applyBorder="1" applyAlignment="1" applyProtection="0">
      <alignment vertical="bottom"/>
    </xf>
    <xf numFmtId="0" fontId="0" fillId="4" borderId="13" applyNumberFormat="1" applyFont="1" applyFill="1" applyBorder="1" applyAlignment="1" applyProtection="0">
      <alignment vertical="bottom"/>
    </xf>
    <xf numFmtId="0" fontId="0" fillId="4" borderId="12" applyNumberFormat="0" applyFont="1" applyFill="1" applyBorder="1" applyAlignment="1" applyProtection="0">
      <alignment vertical="bottom"/>
    </xf>
    <xf numFmtId="0" fontId="0" fillId="15" borderId="9" applyNumberFormat="0" applyFont="1" applyFill="1" applyBorder="1" applyAlignment="1" applyProtection="0">
      <alignment vertical="bottom"/>
    </xf>
    <xf numFmtId="0" fontId="0" fillId="15" borderId="9" applyNumberFormat="1" applyFont="1" applyFill="1" applyBorder="1" applyAlignment="1" applyProtection="0">
      <alignment vertical="bottom"/>
    </xf>
    <xf numFmtId="0" fontId="13" fillId="16" borderId="9" applyNumberFormat="1" applyFont="1" applyFill="1" applyBorder="1" applyAlignment="1" applyProtection="0">
      <alignment vertical="bottom"/>
    </xf>
    <xf numFmtId="49" fontId="0" fillId="16" borderId="9" applyNumberFormat="1" applyFont="1" applyFill="1" applyBorder="1" applyAlignment="1" applyProtection="0">
      <alignment vertical="bottom"/>
    </xf>
    <xf numFmtId="0" fontId="8" fillId="9" borderId="9" applyNumberFormat="0" applyFont="1" applyFill="1" applyBorder="1" applyAlignment="1" applyProtection="0">
      <alignment vertical="bottom"/>
    </xf>
    <xf numFmtId="0" fontId="8" fillId="8" borderId="9" applyNumberFormat="0" applyFont="1" applyFill="1" applyBorder="1" applyAlignment="1" applyProtection="0">
      <alignment vertical="bottom"/>
    </xf>
    <xf numFmtId="0" fontId="0" fillId="17" borderId="9" applyNumberFormat="1" applyFont="1" applyFill="1" applyBorder="1" applyAlignment="1" applyProtection="0">
      <alignment vertical="bottom"/>
    </xf>
    <xf numFmtId="0" fontId="13" fillId="18" borderId="9" applyNumberFormat="1" applyFont="1" applyFill="1" applyBorder="1" applyAlignment="1" applyProtection="0">
      <alignment vertical="bottom"/>
    </xf>
    <xf numFmtId="0" fontId="0" fillId="4" borderId="40" applyNumberFormat="0" applyFont="1" applyFill="1" applyBorder="1" applyAlignment="1" applyProtection="0">
      <alignment vertical="bottom"/>
    </xf>
    <xf numFmtId="0" fontId="0" fillId="16" borderId="9" applyNumberFormat="1" applyFont="1" applyFill="1" applyBorder="1" applyAlignment="1" applyProtection="0">
      <alignment vertical="bottom"/>
    </xf>
    <xf numFmtId="0" fontId="0" fillId="4" borderId="41" applyNumberFormat="0" applyFont="1" applyFill="1" applyBorder="1" applyAlignment="1" applyProtection="0">
      <alignment vertical="bottom"/>
    </xf>
    <xf numFmtId="0" fontId="0" fillId="4" borderId="42" applyNumberFormat="0" applyFont="1" applyFill="1" applyBorder="1" applyAlignment="1" applyProtection="0">
      <alignment vertical="bottom"/>
    </xf>
    <xf numFmtId="0" fontId="0" fillId="4" borderId="43" applyNumberFormat="0" applyFont="1" applyFill="1" applyBorder="1" applyAlignment="1" applyProtection="0">
      <alignment vertical="bottom"/>
    </xf>
    <xf numFmtId="0" fontId="0" fillId="4" borderId="44" applyNumberFormat="0" applyFont="1" applyFill="1" applyBorder="1" applyAlignment="1" applyProtection="0">
      <alignment vertical="bottom"/>
    </xf>
    <xf numFmtId="0" fontId="0" fillId="4" borderId="4" applyNumberFormat="1" applyFont="1" applyFill="1" applyBorder="1" applyAlignment="1" applyProtection="0">
      <alignment vertical="bottom"/>
    </xf>
    <xf numFmtId="0" fontId="8" fillId="4" borderId="4" applyNumberFormat="1" applyFont="1" applyFill="1" applyBorder="1" applyAlignment="1" applyProtection="0">
      <alignment vertical="bottom"/>
    </xf>
    <xf numFmtId="0" fontId="0" fillId="12" borderId="4" applyNumberFormat="0" applyFont="1" applyFill="1" applyBorder="1" applyAlignment="1" applyProtection="0">
      <alignment vertical="bottom"/>
    </xf>
    <xf numFmtId="0" fontId="0" fillId="4" borderId="45" applyNumberFormat="0" applyFont="1" applyFill="1" applyBorder="1" applyAlignment="1" applyProtection="0">
      <alignment vertical="bottom"/>
    </xf>
    <xf numFmtId="0" fontId="0" fillId="4" borderId="15" applyNumberFormat="1" applyFont="1" applyFill="1" applyBorder="1" applyAlignment="1" applyProtection="0">
      <alignment vertical="bottom"/>
    </xf>
    <xf numFmtId="0" fontId="8" fillId="4" borderId="15" applyNumberFormat="1" applyFont="1" applyFill="1" applyBorder="1" applyAlignment="1" applyProtection="0">
      <alignment vertical="bottom"/>
    </xf>
    <xf numFmtId="0" fontId="0" fillId="4" borderId="46" applyNumberFormat="0" applyFont="1" applyFill="1" applyBorder="1" applyAlignment="1" applyProtection="0">
      <alignment vertical="bottom"/>
    </xf>
    <xf numFmtId="0" fontId="0" fillId="4" borderId="34" applyNumberFormat="1" applyFont="1" applyFill="1" applyBorder="1" applyAlignment="1" applyProtection="0">
      <alignment vertical="bottom"/>
    </xf>
    <xf numFmtId="0" fontId="0" fillId="4" borderId="47" applyNumberFormat="0" applyFont="1" applyFill="1" applyBorder="1" applyAlignment="1" applyProtection="0">
      <alignment vertical="bottom"/>
    </xf>
    <xf numFmtId="0" fontId="0" fillId="4" borderId="48"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20" applyNumberFormat="0" applyFont="1" applyFill="1" applyBorder="1" applyAlignment="1" applyProtection="0">
      <alignment horizontal="center" vertical="bottom"/>
    </xf>
    <xf numFmtId="49" fontId="11" fillId="4" borderId="27" applyNumberFormat="1" applyFont="1" applyFill="1" applyBorder="1" applyAlignment="1" applyProtection="0">
      <alignment vertical="center" wrapText="1" readingOrder="1"/>
    </xf>
    <xf numFmtId="0" fontId="0" fillId="4" borderId="27" applyNumberFormat="1" applyFont="1" applyFill="1" applyBorder="1" applyAlignment="1" applyProtection="0">
      <alignment vertical="bottom"/>
    </xf>
    <xf numFmtId="0" fontId="9" fillId="12" borderId="28" applyNumberFormat="1" applyFont="1" applyFill="1" applyBorder="1" applyAlignment="1" applyProtection="0">
      <alignment vertical="bottom"/>
    </xf>
    <xf numFmtId="0" fontId="9" fillId="12" borderId="29" applyNumberFormat="1" applyFont="1" applyFill="1" applyBorder="1" applyAlignment="1" applyProtection="0">
      <alignment vertical="bottom"/>
    </xf>
    <xf numFmtId="0" fontId="0" fillId="4" borderId="49"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50" applyNumberFormat="1" applyFont="1" applyFill="1" applyBorder="1" applyAlignment="1" applyProtection="0">
      <alignment vertical="bottom"/>
    </xf>
    <xf numFmtId="0" fontId="0" fillId="4" borderId="51" applyNumberFormat="0" applyFont="1" applyFill="1" applyBorder="1" applyAlignment="1" applyProtection="0">
      <alignment vertical="bottom"/>
    </xf>
    <xf numFmtId="49" fontId="9" fillId="12" borderId="52" applyNumberFormat="1" applyFont="1" applyFill="1" applyBorder="1" applyAlignment="1" applyProtection="0">
      <alignment vertical="bottom"/>
    </xf>
    <xf numFmtId="0" fontId="0" fillId="4" borderId="49" applyNumberFormat="0" applyFont="1" applyFill="1" applyBorder="1" applyAlignment="1" applyProtection="0">
      <alignment vertical="bottom"/>
    </xf>
    <xf numFmtId="49" fontId="9" fillId="12" borderId="9" applyNumberFormat="1" applyFont="1" applyFill="1" applyBorder="1" applyAlignment="1" applyProtection="0">
      <alignment vertical="bottom"/>
    </xf>
    <xf numFmtId="0" fontId="9" fillId="12" borderId="53" applyNumberFormat="1" applyFont="1" applyFill="1" applyBorder="1" applyAlignment="1" applyProtection="0">
      <alignment horizontal="center" vertical="center" wrapText="1" readingOrder="1"/>
    </xf>
    <xf numFmtId="0" fontId="9" fillId="12" borderId="26" applyNumberFormat="1" applyFont="1" applyFill="1" applyBorder="1" applyAlignment="1" applyProtection="0">
      <alignment horizontal="center" vertical="center" wrapText="1" readingOrder="1"/>
    </xf>
    <xf numFmtId="49" fontId="11" fillId="4" borderId="54" applyNumberFormat="1" applyFont="1" applyFill="1" applyBorder="1" applyAlignment="1" applyProtection="0">
      <alignment horizontal="left" vertical="center" wrapText="1" readingOrder="1"/>
    </xf>
    <xf numFmtId="49" fontId="11" fillId="4" borderId="54" applyNumberFormat="1" applyFont="1" applyFill="1" applyBorder="1" applyAlignment="1" applyProtection="0">
      <alignment vertical="center" wrapText="1" readingOrder="1"/>
    </xf>
    <xf numFmtId="0" fontId="9" fillId="12" borderId="1" applyNumberFormat="1" applyFont="1" applyFill="1" applyBorder="1" applyAlignment="1" applyProtection="0">
      <alignment horizontal="center" vertical="center" wrapText="1" readingOrder="1"/>
    </xf>
    <xf numFmtId="49" fontId="0" fillId="19" borderId="1" applyNumberFormat="1" applyFont="1" applyFill="1" applyBorder="1" applyAlignment="1" applyProtection="0">
      <alignment vertical="bottom"/>
    </xf>
    <xf numFmtId="49" fontId="9" fillId="12" borderId="21" applyNumberFormat="1" applyFont="1" applyFill="1" applyBorder="1" applyAlignment="1" applyProtection="0">
      <alignment vertical="bottom"/>
    </xf>
    <xf numFmtId="0" fontId="0" fillId="4" borderId="55" applyNumberFormat="1" applyFont="1" applyFill="1" applyBorder="1" applyAlignment="1" applyProtection="0">
      <alignment vertical="bottom"/>
    </xf>
    <xf numFmtId="49" fontId="0" fillId="4" borderId="42" applyNumberFormat="1" applyFont="1" applyFill="1" applyBorder="1" applyAlignment="1" applyProtection="0">
      <alignment vertical="bottom"/>
    </xf>
    <xf numFmtId="49" fontId="0" fillId="4" borderId="4" applyNumberFormat="1" applyFont="1" applyFill="1" applyBorder="1" applyAlignment="1" applyProtection="0">
      <alignment vertical="bottom"/>
    </xf>
    <xf numFmtId="49" fontId="9" fillId="12" borderId="42" applyNumberFormat="1" applyFont="1" applyFill="1" applyBorder="1" applyAlignment="1" applyProtection="0">
      <alignment vertical="bottom"/>
    </xf>
    <xf numFmtId="0" fontId="0" fillId="4" borderId="42" applyNumberFormat="1" applyFont="1" applyFill="1" applyBorder="1" applyAlignment="1" applyProtection="0">
      <alignment vertical="bottom"/>
    </xf>
    <xf numFmtId="0" fontId="0" fillId="11" borderId="4" applyNumberFormat="1" applyFont="1" applyFill="1" applyBorder="1" applyAlignment="1" applyProtection="0">
      <alignment vertical="bottom"/>
    </xf>
    <xf numFmtId="0" fontId="0" fillId="12" borderId="4" applyNumberFormat="1" applyFont="1" applyFill="1" applyBorder="1" applyAlignment="1" applyProtection="0">
      <alignment vertical="bottom"/>
    </xf>
    <xf numFmtId="0" fontId="12" fillId="12" borderId="4" applyNumberFormat="1" applyFont="1" applyFill="1" applyBorder="1" applyAlignment="1" applyProtection="0">
      <alignment horizontal="center" vertical="center" wrapText="1" readingOrder="1"/>
    </xf>
    <xf numFmtId="0" fontId="0" fillId="4" borderId="56" applyNumberFormat="0" applyFont="1" applyFill="1" applyBorder="1" applyAlignment="1" applyProtection="0">
      <alignment vertical="bottom"/>
    </xf>
    <xf numFmtId="49" fontId="0" fillId="4" borderId="57" applyNumberFormat="1" applyFont="1" applyFill="1" applyBorder="1" applyAlignment="1" applyProtection="0">
      <alignment vertical="bottom"/>
    </xf>
    <xf numFmtId="0" fontId="0" fillId="4" borderId="58" applyNumberFormat="1" applyFont="1" applyFill="1" applyBorder="1" applyAlignment="1" applyProtection="0">
      <alignment vertical="bottom"/>
    </xf>
    <xf numFmtId="49" fontId="0" fillId="4" borderId="15" applyNumberFormat="1" applyFont="1" applyFill="1" applyBorder="1" applyAlignment="1" applyProtection="0">
      <alignment vertical="bottom"/>
    </xf>
    <xf numFmtId="49" fontId="9" fillId="12" borderId="15" applyNumberFormat="1" applyFont="1" applyFill="1" applyBorder="1" applyAlignment="1" applyProtection="0">
      <alignment vertical="bottom"/>
    </xf>
    <xf numFmtId="0" fontId="0" fillId="11" borderId="15" applyNumberFormat="1" applyFont="1" applyFill="1" applyBorder="1" applyAlignment="1" applyProtection="0">
      <alignment vertical="bottom"/>
    </xf>
    <xf numFmtId="0" fontId="0" fillId="12" borderId="15" applyNumberFormat="1" applyFont="1" applyFill="1" applyBorder="1" applyAlignment="1" applyProtection="0">
      <alignment vertical="bottom"/>
    </xf>
    <xf numFmtId="0" fontId="12" fillId="12" borderId="15" applyNumberFormat="1" applyFont="1" applyFill="1" applyBorder="1" applyAlignment="1" applyProtection="0">
      <alignment horizontal="center" vertical="center" wrapText="1" readingOrder="1"/>
    </xf>
    <xf numFmtId="0" fontId="0" applyNumberFormat="1" applyFont="1" applyFill="0" applyBorder="0" applyAlignment="1" applyProtection="0">
      <alignment vertical="bottom"/>
    </xf>
    <xf numFmtId="0" fontId="0" fillId="4" borderId="2" applyNumberFormat="0" applyFont="1" applyFill="1" applyBorder="1" applyAlignment="1" applyProtection="0">
      <alignment vertical="bottom"/>
    </xf>
    <xf numFmtId="0" fontId="6" fillId="4" borderId="6" applyNumberFormat="0" applyFont="1" applyFill="1" applyBorder="1" applyAlignment="1" applyProtection="0">
      <alignment vertical="center"/>
    </xf>
    <xf numFmtId="49" fontId="6" fillId="4" borderId="9" applyNumberFormat="1" applyFont="1" applyFill="1" applyBorder="1" applyAlignment="1" applyProtection="0">
      <alignment horizontal="center" vertical="center"/>
    </xf>
    <xf numFmtId="0" fontId="6" fillId="4" borderId="9" applyNumberFormat="0" applyFont="1" applyFill="1" applyBorder="1" applyAlignment="1" applyProtection="0">
      <alignment horizontal="center" vertical="center"/>
    </xf>
    <xf numFmtId="49" fontId="14" fillId="4" borderId="59" applyNumberFormat="1" applyFont="1" applyFill="1" applyBorder="1" applyAlignment="1" applyProtection="0">
      <alignment horizontal="center" vertical="center" wrapText="1"/>
    </xf>
    <xf numFmtId="49" fontId="14" fillId="4" borderId="60" applyNumberFormat="1" applyFont="1" applyFill="1" applyBorder="1" applyAlignment="1" applyProtection="0">
      <alignment horizontal="center" vertical="center" wrapText="1"/>
    </xf>
    <xf numFmtId="49" fontId="8" fillId="4" borderId="14" applyNumberFormat="1" applyFont="1" applyFill="1" applyBorder="1" applyAlignment="1" applyProtection="0">
      <alignment vertical="bottom"/>
    </xf>
    <xf numFmtId="61" fontId="0" fillId="4" borderId="44" applyNumberFormat="1" applyFont="1" applyFill="1" applyBorder="1" applyAlignment="1" applyProtection="0">
      <alignment vertical="bottom"/>
    </xf>
    <xf numFmtId="63" fontId="0" fillId="4" borderId="43" applyNumberFormat="1" applyFont="1" applyFill="1" applyBorder="1" applyAlignment="1" applyProtection="0">
      <alignment vertical="bottom"/>
    </xf>
    <xf numFmtId="49" fontId="0" fillId="20" borderId="9" applyNumberFormat="1" applyFont="1" applyFill="1" applyBorder="1" applyAlignment="1" applyProtection="0">
      <alignment vertical="bottom"/>
    </xf>
    <xf numFmtId="0" fontId="0" fillId="12" borderId="25" applyNumberFormat="0" applyFont="1" applyFill="1" applyBorder="1" applyAlignment="1" applyProtection="0">
      <alignment vertical="bottom"/>
    </xf>
    <xf numFmtId="0" fontId="0" fillId="4" borderId="61" applyNumberFormat="0" applyFont="1" applyFill="1" applyBorder="1" applyAlignment="1" applyProtection="0">
      <alignment vertical="bottom"/>
    </xf>
    <xf numFmtId="49" fontId="9" fillId="12" borderId="62" applyNumberFormat="1" applyFont="1" applyFill="1" applyBorder="1" applyAlignment="1" applyProtection="0">
      <alignment vertical="bottom"/>
    </xf>
    <xf numFmtId="49" fontId="0" fillId="4" borderId="14" applyNumberFormat="1" applyFont="1" applyFill="1" applyBorder="1" applyAlignment="1" applyProtection="0">
      <alignment vertical="bottom"/>
    </xf>
    <xf numFmtId="49" fontId="0" fillId="4" borderId="17" applyNumberFormat="1" applyFont="1" applyFill="1" applyBorder="1" applyAlignment="1" applyProtection="0">
      <alignment vertical="bottom"/>
    </xf>
    <xf numFmtId="0" fontId="9" fillId="12" borderId="62" applyNumberFormat="1" applyFont="1" applyFill="1" applyBorder="1" applyAlignment="1" applyProtection="0">
      <alignment vertical="bottom"/>
    </xf>
    <xf numFmtId="0" fontId="0" fillId="4" borderId="63" applyNumberFormat="1" applyFont="1" applyFill="1" applyBorder="1" applyAlignment="1" applyProtection="0">
      <alignment vertical="bottom"/>
    </xf>
    <xf numFmtId="0" fontId="0" fillId="4" borderId="64" applyNumberFormat="1" applyFont="1" applyFill="1" applyBorder="1" applyAlignment="1" applyProtection="0">
      <alignment vertical="bottom"/>
    </xf>
    <xf numFmtId="0" fontId="9" fillId="12" borderId="65" applyNumberFormat="1" applyFont="1" applyFill="1" applyBorder="1" applyAlignment="1" applyProtection="0">
      <alignment vertical="bottom"/>
    </xf>
    <xf numFmtId="0" fontId="9" fillId="12" borderId="65" applyNumberFormat="0" applyFont="1" applyFill="1" applyBorder="1" applyAlignment="1" applyProtection="0">
      <alignment vertical="bottom"/>
    </xf>
    <xf numFmtId="0" fontId="0" fillId="4" borderId="66" applyNumberFormat="0" applyFont="1" applyFill="1" applyBorder="1" applyAlignment="1" applyProtection="0">
      <alignment vertical="bottom"/>
    </xf>
    <xf numFmtId="49" fontId="9" fillId="12" borderId="67" applyNumberFormat="1" applyFont="1" applyFill="1" applyBorder="1" applyAlignment="1" applyProtection="0">
      <alignment vertical="bottom"/>
    </xf>
    <xf numFmtId="0" fontId="9" fillId="12" borderId="68" applyNumberFormat="1" applyFont="1" applyFill="1" applyBorder="1" applyAlignment="1" applyProtection="0">
      <alignment vertical="bottom"/>
    </xf>
    <xf numFmtId="0" fontId="9" fillId="12" borderId="38" applyNumberFormat="0" applyFont="1" applyFill="1" applyBorder="1" applyAlignment="1" applyProtection="0">
      <alignment vertical="bottom"/>
    </xf>
    <xf numFmtId="0" fontId="0" fillId="4" borderId="38" applyNumberFormat="1" applyFont="1" applyFill="1" applyBorder="1" applyAlignment="1" applyProtection="0">
      <alignment vertical="bottom"/>
    </xf>
    <xf numFmtId="0" fontId="9" fillId="12" borderId="38" applyNumberFormat="1" applyFont="1" applyFill="1" applyBorder="1" applyAlignment="1" applyProtection="0">
      <alignment vertical="bottom"/>
    </xf>
    <xf numFmtId="0" fontId="9" fillId="12" borderId="67" applyNumberFormat="1" applyFont="1" applyFill="1" applyBorder="1" applyAlignment="1" applyProtection="0">
      <alignment vertical="bottom"/>
    </xf>
    <xf numFmtId="0" fontId="0" fillId="4" borderId="69" applyNumberFormat="0" applyFont="1" applyFill="1" applyBorder="1" applyAlignment="1" applyProtection="0">
      <alignment vertical="bottom"/>
    </xf>
    <xf numFmtId="49" fontId="0" fillId="4" borderId="52" applyNumberFormat="1" applyFont="1" applyFill="1" applyBorder="1" applyAlignment="1" applyProtection="0">
      <alignment vertical="bottom"/>
    </xf>
    <xf numFmtId="49" fontId="9" fillId="12" borderId="70" applyNumberFormat="1" applyFont="1" applyFill="1" applyBorder="1" applyAlignment="1" applyProtection="0">
      <alignment vertical="bottom"/>
    </xf>
    <xf numFmtId="49" fontId="0" fillId="4" borderId="58" applyNumberFormat="1" applyFont="1" applyFill="1" applyBorder="1" applyAlignment="1" applyProtection="0">
      <alignment vertical="bottom"/>
    </xf>
    <xf numFmtId="0" fontId="0" fillId="4" borderId="52" applyNumberFormat="1" applyFont="1" applyFill="1" applyBorder="1" applyAlignment="1" applyProtection="0">
      <alignment vertical="bottom"/>
    </xf>
    <xf numFmtId="0" fontId="0" fillId="4" borderId="52" applyNumberFormat="0" applyFont="1" applyFill="1" applyBorder="1" applyAlignment="1" applyProtection="0">
      <alignment vertical="bottom"/>
    </xf>
    <xf numFmtId="0" fontId="9" fillId="12" borderId="52" applyNumberFormat="1" applyFont="1" applyFill="1" applyBorder="1" applyAlignment="1" applyProtection="0">
      <alignment vertical="bottom"/>
    </xf>
    <xf numFmtId="0" fontId="0" fillId="4" borderId="70" applyNumberFormat="1" applyFont="1" applyFill="1" applyBorder="1" applyAlignment="1" applyProtection="0">
      <alignment vertical="bottom"/>
    </xf>
    <xf numFmtId="49" fontId="9" fillId="12" borderId="27" applyNumberFormat="1" applyFont="1" applyFill="1" applyBorder="1" applyAlignment="1" applyProtection="0">
      <alignment vertical="bottom"/>
    </xf>
    <xf numFmtId="0" fontId="9" fillId="12" borderId="9" applyNumberFormat="1" applyFont="1" applyFill="1" applyBorder="1" applyAlignment="1" applyProtection="0">
      <alignment vertical="bottom"/>
    </xf>
    <xf numFmtId="0" fontId="0" fillId="4" borderId="22" applyNumberFormat="1" applyFont="1" applyFill="1" applyBorder="1" applyAlignment="1" applyProtection="0">
      <alignment vertical="bottom"/>
    </xf>
    <xf numFmtId="49" fontId="0" fillId="4" borderId="62" applyNumberFormat="1" applyFont="1" applyFill="1" applyBorder="1" applyAlignment="1" applyProtection="0">
      <alignment vertical="bottom"/>
    </xf>
    <xf numFmtId="0" fontId="0" fillId="4" borderId="25" applyNumberFormat="1" applyFont="1" applyFill="1" applyBorder="1" applyAlignment="1" applyProtection="0">
      <alignment vertical="bottom"/>
    </xf>
    <xf numFmtId="49" fontId="9" fillId="16" borderId="29" applyNumberFormat="1" applyFont="1" applyFill="1" applyBorder="1" applyAlignment="1" applyProtection="0">
      <alignment vertical="bottom"/>
    </xf>
    <xf numFmtId="0" fontId="0" fillId="4" borderId="28" applyNumberFormat="1" applyFont="1" applyFill="1" applyBorder="1" applyAlignment="1" applyProtection="0">
      <alignment vertical="bottom"/>
    </xf>
    <xf numFmtId="0" fontId="13" fillId="15" borderId="9" applyNumberFormat="1" applyFont="1" applyFill="1" applyBorder="1" applyAlignment="1" applyProtection="0">
      <alignment vertical="bottom"/>
    </xf>
    <xf numFmtId="0" fontId="0" fillId="15" borderId="27" applyNumberFormat="1" applyFont="1" applyFill="1" applyBorder="1" applyAlignment="1" applyProtection="0">
      <alignment vertical="bottom"/>
    </xf>
    <xf numFmtId="0" fontId="9" fillId="15" borderId="29" applyNumberFormat="1" applyFont="1" applyFill="1" applyBorder="1" applyAlignment="1" applyProtection="0">
      <alignment vertical="bottom"/>
    </xf>
    <xf numFmtId="0" fontId="0" fillId="15" borderId="27" applyNumberFormat="0" applyFont="1" applyFill="1" applyBorder="1" applyAlignment="1" applyProtection="0">
      <alignment vertical="bottom"/>
    </xf>
    <xf numFmtId="0" fontId="13" fillId="12" borderId="4" applyNumberFormat="1" applyFont="1" applyFill="1" applyBorder="1" applyAlignment="1" applyProtection="0">
      <alignment vertical="bottom"/>
    </xf>
    <xf numFmtId="0" fontId="0" fillId="12" borderId="15"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49" fontId="0" fillId="4" borderId="34" applyNumberFormat="1" applyFont="1" applyFill="1" applyBorder="1" applyAlignment="1" applyProtection="0">
      <alignment vertical="bottom"/>
    </xf>
    <xf numFmtId="0" fontId="0" applyNumberFormat="1" applyFont="1" applyFill="0" applyBorder="0" applyAlignment="1" applyProtection="0">
      <alignment vertical="bottom"/>
    </xf>
    <xf numFmtId="0" fontId="0" fillId="4" borderId="71" applyNumberFormat="0" applyFont="1" applyFill="1" applyBorder="1" applyAlignment="1" applyProtection="0">
      <alignment vertical="bottom"/>
    </xf>
    <xf numFmtId="49" fontId="0" fillId="4" borderId="1" applyNumberFormat="1" applyFont="1" applyFill="1" applyBorder="1" applyAlignment="1" applyProtection="0">
      <alignment vertical="bottom"/>
    </xf>
    <xf numFmtId="0" fontId="0" fillId="4" borderId="72" applyNumberFormat="0" applyFont="1" applyFill="1" applyBorder="1" applyAlignment="1" applyProtection="0">
      <alignment vertical="bottom"/>
    </xf>
    <xf numFmtId="49" fontId="9" fillId="12" borderId="73" applyNumberFormat="1" applyFont="1" applyFill="1" applyBorder="1" applyAlignment="1" applyProtection="0">
      <alignment vertical="bottom"/>
    </xf>
    <xf numFmtId="49" fontId="6" fillId="4" borderId="74" applyNumberFormat="1" applyFont="1" applyFill="1" applyBorder="1" applyAlignment="1" applyProtection="0">
      <alignment vertical="bottom"/>
    </xf>
    <xf numFmtId="49" fontId="9" fillId="12" borderId="23" applyNumberFormat="1" applyFont="1" applyFill="1" applyBorder="1" applyAlignment="1" applyProtection="0">
      <alignment vertical="bottom"/>
    </xf>
    <xf numFmtId="49" fontId="0" fillId="4" borderId="43" applyNumberFormat="1" applyFont="1" applyFill="1" applyBorder="1" applyAlignment="1" applyProtection="0">
      <alignment vertical="bottom"/>
    </xf>
    <xf numFmtId="0" fontId="0" fillId="4" borderId="26" applyNumberFormat="1" applyFont="1" applyFill="1" applyBorder="1" applyAlignment="1" applyProtection="0">
      <alignment vertical="bottom"/>
    </xf>
    <xf numFmtId="0" fontId="0" fillId="4" borderId="75" applyNumberFormat="1" applyFont="1" applyFill="1" applyBorder="1" applyAlignment="1" applyProtection="0">
      <alignment vertical="bottom"/>
    </xf>
    <xf numFmtId="0" fontId="9" fillId="12" borderId="9" applyNumberFormat="0" applyFont="1" applyFill="1" applyBorder="1" applyAlignment="1" applyProtection="0">
      <alignment horizontal="center" vertical="center" wrapText="1" readingOrder="1"/>
    </xf>
    <xf numFmtId="0" fontId="0" fillId="13" borderId="27" applyNumberFormat="1" applyFont="1" applyFill="1" applyBorder="1" applyAlignment="1" applyProtection="0">
      <alignment vertical="bottom"/>
    </xf>
    <xf numFmtId="49" fontId="9" fillId="12" borderId="9" applyNumberFormat="1" applyFont="1" applyFill="1" applyBorder="1" applyAlignment="1" applyProtection="0">
      <alignment horizontal="center" vertical="center" wrapText="1" readingOrder="1"/>
    </xf>
    <xf numFmtId="0" fontId="9" fillId="15" borderId="9" applyNumberFormat="0" applyFont="1" applyFill="1" applyBorder="1" applyAlignment="1" applyProtection="0">
      <alignment horizontal="center" vertical="center" wrapText="1" readingOrder="1"/>
    </xf>
    <xf numFmtId="0" fontId="9" fillId="15" borderId="9" applyNumberFormat="1" applyFont="1" applyFill="1" applyBorder="1" applyAlignment="1" applyProtection="0">
      <alignment horizontal="center" vertical="center" wrapText="1" readingOrder="1"/>
    </xf>
    <xf numFmtId="49" fontId="11" fillId="15" borderId="9" applyNumberFormat="1" applyFont="1" applyFill="1" applyBorder="1" applyAlignment="1" applyProtection="0">
      <alignment vertical="center" wrapText="1" readingOrder="1"/>
    </xf>
    <xf numFmtId="0" fontId="0" fillId="4" borderId="76" applyNumberFormat="0" applyFont="1" applyFill="1" applyBorder="1" applyAlignment="1" applyProtection="0">
      <alignment vertical="bottom"/>
    </xf>
    <xf numFmtId="0" fontId="0" applyNumberFormat="1" applyFont="1" applyFill="0" applyBorder="0" applyAlignment="1" applyProtection="0">
      <alignment vertical="bottom"/>
    </xf>
    <xf numFmtId="0" fontId="0" fillId="4" borderId="73" applyNumberFormat="0" applyFont="1" applyFill="1" applyBorder="1" applyAlignment="1" applyProtection="0">
      <alignment vertical="bottom"/>
    </xf>
    <xf numFmtId="0" fontId="0" fillId="4" borderId="77" applyNumberFormat="0" applyFont="1" applyFill="1" applyBorder="1" applyAlignment="1" applyProtection="0">
      <alignment vertical="bottom"/>
    </xf>
    <xf numFmtId="0" fontId="0" fillId="21" borderId="44" applyNumberFormat="1" applyFont="1" applyFill="1" applyBorder="1" applyAlignment="1" applyProtection="0">
      <alignment vertical="bottom"/>
    </xf>
    <xf numFmtId="0" fontId="0" fillId="21" borderId="12" applyNumberFormat="0" applyFont="1" applyFill="1" applyBorder="1" applyAlignment="1" applyProtection="0">
      <alignment vertical="bottom"/>
    </xf>
    <xf numFmtId="49" fontId="0" fillId="21" borderId="12" applyNumberFormat="1" applyFont="1" applyFill="1" applyBorder="1" applyAlignment="1" applyProtection="0">
      <alignment vertical="bottom"/>
    </xf>
    <xf numFmtId="49" fontId="0" fillId="21" borderId="13" applyNumberFormat="1" applyFont="1" applyFill="1" applyBorder="1" applyAlignment="1" applyProtection="0">
      <alignment vertical="bottom"/>
    </xf>
    <xf numFmtId="0" fontId="9" fillId="12" borderId="62" applyNumberFormat="0" applyFont="1" applyFill="1" applyBorder="1" applyAlignment="1" applyProtection="0">
      <alignment vertical="bottom"/>
    </xf>
    <xf numFmtId="49" fontId="0" fillId="4" borderId="44" applyNumberFormat="1" applyFont="1" applyFill="1" applyBorder="1" applyAlignment="1" applyProtection="0">
      <alignment vertical="bottom"/>
    </xf>
    <xf numFmtId="0" fontId="12" fillId="12" borderId="9" applyNumberFormat="0" applyFont="1" applyFill="1" applyBorder="1" applyAlignment="1" applyProtection="0">
      <alignment horizontal="center" vertical="center" wrapText="1" readingOrder="1"/>
    </xf>
    <xf numFmtId="0" fontId="9" fillId="12" borderId="67" applyNumberFormat="0" applyFont="1" applyFill="1" applyBorder="1" applyAlignment="1" applyProtection="0">
      <alignment vertical="bottom"/>
    </xf>
    <xf numFmtId="49" fontId="0" fillId="4" borderId="66" applyNumberFormat="1" applyFont="1" applyFill="1" applyBorder="1" applyAlignment="1" applyProtection="0">
      <alignment vertical="bottom"/>
    </xf>
    <xf numFmtId="0" fontId="9" fillId="12" borderId="52" applyNumberFormat="0" applyFont="1" applyFill="1" applyBorder="1" applyAlignment="1" applyProtection="0">
      <alignment vertical="bottom"/>
    </xf>
    <xf numFmtId="0" fontId="0" fillId="4" borderId="62" applyNumberFormat="1" applyFont="1" applyFill="1" applyBorder="1" applyAlignment="1" applyProtection="0">
      <alignment vertical="bottom"/>
    </xf>
    <xf numFmtId="0" fontId="0" fillId="4" borderId="62" applyNumberFormat="0" applyFont="1" applyFill="1" applyBorder="1" applyAlignment="1" applyProtection="0">
      <alignment vertical="bottom"/>
    </xf>
    <xf numFmtId="0" fontId="0" fillId="16" borderId="26" applyNumberFormat="0" applyFont="1" applyFill="1" applyBorder="1" applyAlignment="1" applyProtection="0">
      <alignment vertical="bottom"/>
    </xf>
    <xf numFmtId="0" fontId="9" fillId="16" borderId="9" applyNumberFormat="1" applyFont="1" applyFill="1" applyBorder="1" applyAlignment="1" applyProtection="0">
      <alignment horizontal="center" vertical="center" wrapText="1" readingOrder="1"/>
    </xf>
    <xf numFmtId="49" fontId="11" fillId="16" borderId="9" applyNumberFormat="1" applyFont="1" applyFill="1" applyBorder="1" applyAlignment="1" applyProtection="0">
      <alignment horizontal="left" vertical="center" wrapText="1" readingOrder="1"/>
    </xf>
    <xf numFmtId="49" fontId="11" fillId="16" borderId="9" applyNumberFormat="1" applyFont="1" applyFill="1" applyBorder="1" applyAlignment="1" applyProtection="0">
      <alignment vertical="center" wrapText="1" readingOrder="1"/>
    </xf>
    <xf numFmtId="49" fontId="0" fillId="16" borderId="27" applyNumberFormat="1" applyFont="1" applyFill="1" applyBorder="1" applyAlignment="1" applyProtection="0">
      <alignment vertical="bottom"/>
    </xf>
    <xf numFmtId="49" fontId="0" fillId="4" borderId="51" applyNumberFormat="1" applyFont="1" applyFill="1" applyBorder="1" applyAlignment="1" applyProtection="0">
      <alignment vertical="bottom"/>
    </xf>
    <xf numFmtId="49" fontId="0" fillId="4" borderId="78" applyNumberFormat="1" applyFont="1" applyFill="1" applyBorder="1" applyAlignment="1" applyProtection="0">
      <alignment vertical="bottom"/>
    </xf>
    <xf numFmtId="0" fontId="9" fillId="16" borderId="27" applyNumberFormat="0" applyFont="1" applyFill="1" applyBorder="1" applyAlignment="1" applyProtection="0">
      <alignment vertical="bottom"/>
    </xf>
    <xf numFmtId="0" fontId="9" fillId="16" borderId="51" applyNumberFormat="0" applyFont="1" applyFill="1" applyBorder="1" applyAlignment="1" applyProtection="0">
      <alignment vertical="bottom"/>
    </xf>
    <xf numFmtId="0" fontId="0" fillId="4" borderId="38" applyNumberFormat="0" applyFont="1" applyFill="1" applyBorder="1" applyAlignment="1" applyProtection="0">
      <alignment vertical="bottom"/>
    </xf>
    <xf numFmtId="0" fontId="9" fillId="16" borderId="38" applyNumberFormat="0" applyFont="1" applyFill="1" applyBorder="1" applyAlignment="1" applyProtection="0">
      <alignment vertical="bottom"/>
    </xf>
    <xf numFmtId="0" fontId="9" fillId="16" borderId="29" applyNumberFormat="0" applyFont="1" applyFill="1" applyBorder="1" applyAlignment="1" applyProtection="0">
      <alignment vertical="bottom"/>
    </xf>
    <xf numFmtId="0" fontId="0" fillId="16" borderId="9" applyNumberFormat="0" applyFont="1" applyFill="1" applyBorder="1" applyAlignment="1" applyProtection="0">
      <alignment vertical="bottom"/>
    </xf>
    <xf numFmtId="0" fontId="12" fillId="16" borderId="9" applyNumberFormat="0" applyFont="1" applyFill="1" applyBorder="1" applyAlignment="1" applyProtection="0">
      <alignment horizontal="center" vertical="center" wrapText="1" readingOrder="1"/>
    </xf>
    <xf numFmtId="0" fontId="12" fillId="16" borderId="9" applyNumberFormat="1" applyFont="1" applyFill="1" applyBorder="1" applyAlignment="1" applyProtection="0">
      <alignment horizontal="center" vertical="center" wrapText="1" readingOrder="1"/>
    </xf>
    <xf numFmtId="0" fontId="0" fillId="16" borderId="10" applyNumberFormat="0" applyFont="1" applyFill="1" applyBorder="1" applyAlignment="1" applyProtection="0">
      <alignment vertical="bottom"/>
    </xf>
    <xf numFmtId="0" fontId="8" fillId="16" borderId="9" applyNumberFormat="1" applyFont="1" applyFill="1" applyBorder="1" applyAlignment="1" applyProtection="0">
      <alignment vertical="bottom"/>
    </xf>
    <xf numFmtId="0" fontId="0" fillId="4" borderId="79" applyNumberFormat="1" applyFont="1" applyFill="1" applyBorder="1" applyAlignment="1" applyProtection="0">
      <alignment vertical="bottom"/>
    </xf>
    <xf numFmtId="0" fontId="0" fillId="4" borderId="80" applyNumberFormat="1" applyFont="1" applyFill="1" applyBorder="1" applyAlignment="1" applyProtection="0">
      <alignment vertical="bottom"/>
    </xf>
    <xf numFmtId="0" fontId="0" fillId="4" borderId="80" applyNumberFormat="0" applyFont="1" applyFill="1" applyBorder="1" applyAlignment="1" applyProtection="0">
      <alignment vertical="bottom"/>
    </xf>
    <xf numFmtId="49" fontId="12" fillId="12" borderId="9" applyNumberFormat="1" applyFont="1" applyFill="1" applyBorder="1" applyAlignment="1" applyProtection="0">
      <alignment horizontal="center" vertical="center" wrapText="1" readingOrder="1"/>
    </xf>
    <xf numFmtId="0" fontId="0" fillId="18" borderId="10" applyNumberFormat="1" applyFont="1" applyFill="1" applyBorder="1" applyAlignment="1" applyProtection="0">
      <alignment vertical="bottom"/>
    </xf>
    <xf numFmtId="0" fontId="0" fillId="14" borderId="9" applyNumberFormat="1" applyFont="1" applyFill="1" applyBorder="1" applyAlignment="1" applyProtection="0">
      <alignment vertical="bottom"/>
    </xf>
    <xf numFmtId="49" fontId="11" fillId="19" borderId="9" applyNumberFormat="1" applyFont="1" applyFill="1" applyBorder="1" applyAlignment="1" applyProtection="0">
      <alignment horizontal="left" vertical="center" wrapText="1" readingOrder="1"/>
    </xf>
    <xf numFmtId="0" fontId="11" fillId="4" borderId="9" applyNumberFormat="0" applyFont="1" applyFill="1" applyBorder="1" applyAlignment="1" applyProtection="0">
      <alignment vertical="center" wrapText="1" readingOrder="1"/>
    </xf>
    <xf numFmtId="0" fontId="0" applyNumberFormat="1" applyFont="1" applyFill="0" applyBorder="0" applyAlignment="1" applyProtection="0">
      <alignment vertical="bottom"/>
    </xf>
    <xf numFmtId="0" fontId="8" fillId="22" borderId="9" applyNumberFormat="0" applyFont="1" applyFill="1" applyBorder="1" applyAlignment="1" applyProtection="0">
      <alignment vertical="bottom"/>
    </xf>
    <xf numFmtId="0" fontId="13" fillId="4" borderId="9" applyNumberFormat="1" applyFont="1" applyFill="1" applyBorder="1" applyAlignment="1" applyProtection="0">
      <alignment vertical="bottom"/>
    </xf>
    <xf numFmtId="0" fontId="8" fillId="22" borderId="9" applyNumberFormat="1" applyFont="1" applyFill="1" applyBorder="1" applyAlignment="1" applyProtection="0">
      <alignment vertical="bottom"/>
    </xf>
    <xf numFmtId="49" fontId="0" fillId="4" borderId="70" applyNumberFormat="1" applyFont="1" applyFill="1" applyBorder="1" applyAlignment="1" applyProtection="0">
      <alignment vertical="bottom"/>
    </xf>
    <xf numFmtId="49" fontId="0" fillId="4" borderId="49" applyNumberFormat="1" applyFont="1" applyFill="1" applyBorder="1" applyAlignment="1" applyProtection="0">
      <alignment vertical="bottom"/>
    </xf>
    <xf numFmtId="0" fontId="9" fillId="12" borderId="23" applyNumberFormat="1" applyFont="1" applyFill="1" applyBorder="1" applyAlignment="1" applyProtection="0">
      <alignment horizontal="center" vertical="center" wrapText="1" readingOrder="1"/>
    </xf>
    <xf numFmtId="49" fontId="11" fillId="15" borderId="9" applyNumberFormat="1" applyFont="1" applyFill="1" applyBorder="1" applyAlignment="1" applyProtection="0">
      <alignment horizontal="left" vertical="center" wrapText="1" readingOrder="1"/>
    </xf>
    <xf numFmtId="0" fontId="9" fillId="12" borderId="23" applyNumberFormat="1" applyFont="1" applyFill="1" applyBorder="1" applyAlignment="1" applyProtection="0">
      <alignment vertical="bottom"/>
    </xf>
    <xf numFmtId="0" fontId="0" fillId="4" borderId="81" applyNumberFormat="0" applyFont="1" applyFill="1" applyBorder="1" applyAlignment="1" applyProtection="0">
      <alignment vertical="bottom"/>
    </xf>
    <xf numFmtId="0" fontId="0" fillId="4" borderId="14" applyNumberFormat="1" applyFont="1" applyFill="1" applyBorder="1" applyAlignment="1" applyProtection="0">
      <alignment vertical="bottom"/>
    </xf>
    <xf numFmtId="49" fontId="0" fillId="14" borderId="9" applyNumberFormat="1" applyFont="1" applyFill="1" applyBorder="1" applyAlignment="1" applyProtection="0">
      <alignment vertical="bottom"/>
    </xf>
    <xf numFmtId="0" fontId="0" fillId="14" borderId="44" applyNumberFormat="0" applyFont="1" applyFill="1" applyBorder="1" applyAlignment="1" applyProtection="0">
      <alignment vertical="bottom"/>
    </xf>
    <xf numFmtId="0" fontId="0" fillId="14" borderId="4" applyNumberFormat="0" applyFont="1" applyFill="1" applyBorder="1" applyAlignment="1" applyProtection="0">
      <alignment vertical="bottom"/>
    </xf>
    <xf numFmtId="0" fontId="0" fillId="14" borderId="43" applyNumberFormat="0" applyFont="1" applyFill="1" applyBorder="1" applyAlignment="1" applyProtection="0">
      <alignment vertical="bottom"/>
    </xf>
    <xf numFmtId="0" fontId="9" fillId="14" borderId="27" applyNumberFormat="0" applyFont="1" applyFill="1" applyBorder="1" applyAlignment="1" applyProtection="0">
      <alignment vertical="bottom"/>
    </xf>
    <xf numFmtId="0" fontId="0" fillId="14" borderId="82" applyNumberFormat="0" applyFont="1" applyFill="1" applyBorder="1" applyAlignment="1" applyProtection="0">
      <alignment vertical="bottom"/>
    </xf>
    <xf numFmtId="0" fontId="0" fillId="14" borderId="4" applyNumberFormat="1" applyFont="1" applyFill="1" applyBorder="1" applyAlignment="1" applyProtection="0">
      <alignment vertical="bottom"/>
    </xf>
    <xf numFmtId="0" fontId="8" fillId="22" borderId="4" applyNumberFormat="1" applyFont="1" applyFill="1" applyBorder="1" applyAlignment="1" applyProtection="0">
      <alignment vertical="bottom"/>
    </xf>
    <xf numFmtId="0" fontId="13" fillId="14" borderId="4" applyNumberFormat="1" applyFont="1" applyFill="1" applyBorder="1" applyAlignment="1" applyProtection="0">
      <alignment vertical="bottom"/>
    </xf>
    <xf numFmtId="0" fontId="0" fillId="4" borderId="58" applyNumberFormat="0" applyFont="1" applyFill="1" applyBorder="1" applyAlignment="1" applyProtection="0">
      <alignment vertical="bottom"/>
    </xf>
    <xf numFmtId="0" fontId="9" fillId="12" borderId="27" applyNumberFormat="0" applyFont="1" applyFill="1" applyBorder="1" applyAlignment="1" applyProtection="0">
      <alignment vertical="bottom"/>
    </xf>
    <xf numFmtId="0" fontId="0" applyNumberFormat="1" applyFont="1" applyFill="0" applyBorder="0" applyAlignment="1" applyProtection="0">
      <alignment vertical="bottom"/>
    </xf>
    <xf numFmtId="61" fontId="8" fillId="4" borderId="9" applyNumberFormat="1" applyFont="1" applyFill="1" applyBorder="1" applyAlignment="1" applyProtection="0">
      <alignment vertical="bottom" wrapText="1"/>
    </xf>
    <xf numFmtId="49" fontId="0" fillId="4" borderId="22" applyNumberFormat="1" applyFont="1" applyFill="1" applyBorder="1" applyAlignment="1" applyProtection="0">
      <alignment vertical="bottom"/>
    </xf>
    <xf numFmtId="0" fontId="13" fillId="23" borderId="9" applyNumberFormat="1" applyFont="1" applyFill="1" applyBorder="1" applyAlignment="1" applyProtection="0">
      <alignment vertical="bottom"/>
    </xf>
    <xf numFmtId="0" fontId="0" fillId="14" borderId="18" applyNumberFormat="0" applyFont="1" applyFill="1" applyBorder="1" applyAlignment="1" applyProtection="0">
      <alignment vertical="bottom"/>
    </xf>
    <xf numFmtId="0" fontId="9" fillId="14" borderId="29" applyNumberFormat="1" applyFont="1" applyFill="1" applyBorder="1" applyAlignment="1" applyProtection="0">
      <alignment horizontal="center" vertical="center" wrapText="1" readingOrder="1"/>
    </xf>
    <xf numFmtId="49" fontId="11" fillId="14" borderId="9" applyNumberFormat="1" applyFont="1" applyFill="1" applyBorder="1" applyAlignment="1" applyProtection="0">
      <alignment horizontal="left" vertical="center" wrapText="1" readingOrder="1"/>
    </xf>
    <xf numFmtId="49" fontId="11" fillId="14" borderId="9" applyNumberFormat="1" applyFont="1" applyFill="1" applyBorder="1" applyAlignment="1" applyProtection="0">
      <alignment vertical="center" wrapText="1" readingOrder="1"/>
    </xf>
    <xf numFmtId="49" fontId="0" fillId="14" borderId="27" applyNumberFormat="1" applyFont="1" applyFill="1" applyBorder="1" applyAlignment="1" applyProtection="0">
      <alignment vertical="bottom"/>
    </xf>
    <xf numFmtId="49" fontId="9" fillId="14" borderId="29" applyNumberFormat="1" applyFont="1" applyFill="1" applyBorder="1" applyAlignment="1" applyProtection="0">
      <alignment vertical="bottom"/>
    </xf>
    <xf numFmtId="0" fontId="0" fillId="14" borderId="27" applyNumberFormat="0" applyFont="1" applyFill="1" applyBorder="1" applyAlignment="1" applyProtection="0">
      <alignment vertical="bottom"/>
    </xf>
    <xf numFmtId="0" fontId="0" fillId="14" borderId="9" applyNumberFormat="0" applyFont="1" applyFill="1" applyBorder="1" applyAlignment="1" applyProtection="0">
      <alignment vertical="bottom"/>
    </xf>
    <xf numFmtId="0" fontId="12" fillId="14" borderId="9" applyNumberFormat="1" applyFont="1" applyFill="1" applyBorder="1" applyAlignment="1" applyProtection="0">
      <alignment horizontal="center" vertical="center" wrapText="1" readingOrder="1"/>
    </xf>
    <xf numFmtId="0" fontId="0" fillId="14" borderId="10" applyNumberFormat="0" applyFont="1" applyFill="1" applyBorder="1" applyAlignment="1" applyProtection="0">
      <alignment vertical="bottom"/>
    </xf>
    <xf numFmtId="0" fontId="8" fillId="14" borderId="9"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3f3f3f"/>
      <rgbColor rgb="ffb6dde8"/>
      <rgbColor rgb="fffbd4b4"/>
      <rgbColor rgb="ffd6e3bc"/>
      <rgbColor rgb="ffccc0d9"/>
      <rgbColor rgb="ffd8d8d8"/>
      <rgbColor rgb="ffa5a5a5"/>
      <rgbColor rgb="ffbfbfbf"/>
      <rgbColor rgb="fff2f2f2"/>
      <rgbColor rgb="ffdfa7a6"/>
      <rgbColor rgb="ffcdddac"/>
      <rgbColor rgb="ffcf7b79"/>
      <rgbColor rgb="ffb4cc82"/>
      <rgbColor rgb="ff7c9547"/>
      <rgbColor rgb="ff9bbb59"/>
      <rgbColor rgb="ff9f8ab9"/>
      <rgbColor rgb="ffbfb1d0"/>
      <rgbColor rgb="ffa7a7a7"/>
      <rgbColor rgb="ffddddd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1.png"/></Relationships>

</file>

<file path=xl/drawings/_rels/drawing3.xml.rels><?xml version="1.0" encoding="UTF-8"?>
<Relationships xmlns="http://schemas.openxmlformats.org/package/2006/relationships"><Relationship Id="rId1" Type="http://schemas.openxmlformats.org/officeDocument/2006/relationships/image" Target="../media/image1.png"/></Relationships>

</file>

<file path=xl/drawings/_rels/drawing4.xml.rels><?xml version="1.0" encoding="UTF-8"?>
<Relationships xmlns="http://schemas.openxmlformats.org/package/2006/relationships"><Relationship Id="rId1" Type="http://schemas.openxmlformats.org/officeDocument/2006/relationships/image" Target="../media/image1.png"/></Relationships>

</file>

<file path=xl/drawings/_rels/drawing5.xml.rels><?xml version="1.0" encoding="UTF-8"?>
<Relationships xmlns="http://schemas.openxmlformats.org/package/2006/relationships"><Relationship Id="rId1" Type="http://schemas.openxmlformats.org/officeDocument/2006/relationships/image" Target="../media/image1.png"/></Relationships>

</file>

<file path=xl/drawings/_rels/drawing6.xml.rels><?xml version="1.0" encoding="UTF-8"?>
<Relationships xmlns="http://schemas.openxmlformats.org/package/2006/relationships"><Relationship Id="rId1" Type="http://schemas.openxmlformats.org/officeDocument/2006/relationships/image" Target="../media/image1.png"/></Relationships>

</file>

<file path=xl/drawings/_rels/drawing7.xml.rels><?xml version="1.0" encoding="UTF-8"?>
<Relationships xmlns="http://schemas.openxmlformats.org/package/2006/relationships"><Relationship Id="rId1" Type="http://schemas.openxmlformats.org/officeDocument/2006/relationships/image" Target="../media/image1.png"/></Relationships>

</file>

<file path=xl/drawings/_rels/drawing8.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23532</xdr:colOff>
      <xdr:row>2</xdr:row>
      <xdr:rowOff>143996</xdr:rowOff>
    </xdr:from>
    <xdr:to>
      <xdr:col>2</xdr:col>
      <xdr:colOff>356907</xdr:colOff>
      <xdr:row>2</xdr:row>
      <xdr:rowOff>486842</xdr:rowOff>
    </xdr:to>
    <xdr:pic>
      <xdr:nvPicPr>
        <xdr:cNvPr id="2" name="Imagen 919266978" descr="Imagen 919266978"/>
        <xdr:cNvPicPr>
          <a:picLocks noChangeAspect="1"/>
        </xdr:cNvPicPr>
      </xdr:nvPicPr>
      <xdr:blipFill>
        <a:blip r:embed="rId1">
          <a:extLst/>
        </a:blip>
        <a:srcRect l="5223" t="0" r="8623" b="0"/>
        <a:stretch>
          <a:fillRect/>
        </a:stretch>
      </xdr:blipFill>
      <xdr:spPr>
        <a:xfrm>
          <a:off x="1039532" y="524996"/>
          <a:ext cx="333376" cy="342846"/>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76198</xdr:colOff>
      <xdr:row>2</xdr:row>
      <xdr:rowOff>609600</xdr:rowOff>
    </xdr:from>
    <xdr:to>
      <xdr:col>2</xdr:col>
      <xdr:colOff>107220</xdr:colOff>
      <xdr:row>3</xdr:row>
      <xdr:rowOff>0</xdr:rowOff>
    </xdr:to>
    <xdr:pic>
      <xdr:nvPicPr>
        <xdr:cNvPr id="4" name="Imagen 919266978" descr="Imagen 919266978"/>
        <xdr:cNvPicPr>
          <a:picLocks noChangeAspect="1"/>
        </xdr:cNvPicPr>
      </xdr:nvPicPr>
      <xdr:blipFill>
        <a:blip r:embed="rId1">
          <a:extLst/>
        </a:blip>
        <a:srcRect l="5223" t="0" r="8622" b="0"/>
        <a:stretch>
          <a:fillRect/>
        </a:stretch>
      </xdr:blipFill>
      <xdr:spPr>
        <a:xfrm>
          <a:off x="800098" y="1171575"/>
          <a:ext cx="335823" cy="123825"/>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52136</xdr:colOff>
      <xdr:row>2</xdr:row>
      <xdr:rowOff>381000</xdr:rowOff>
    </xdr:from>
    <xdr:to>
      <xdr:col>2</xdr:col>
      <xdr:colOff>125661</xdr:colOff>
      <xdr:row>2</xdr:row>
      <xdr:rowOff>694746</xdr:rowOff>
    </xdr:to>
    <xdr:pic>
      <xdr:nvPicPr>
        <xdr:cNvPr id="6" name="Imagen 919266978" descr="Imagen 919266978"/>
        <xdr:cNvPicPr>
          <a:picLocks noChangeAspect="1"/>
        </xdr:cNvPicPr>
      </xdr:nvPicPr>
      <xdr:blipFill>
        <a:blip r:embed="rId1">
          <a:extLst/>
        </a:blip>
        <a:srcRect l="5223" t="0" r="8623" b="0"/>
        <a:stretch>
          <a:fillRect/>
        </a:stretch>
      </xdr:blipFill>
      <xdr:spPr>
        <a:xfrm>
          <a:off x="877636" y="885825"/>
          <a:ext cx="378326" cy="313747"/>
        </a:xfrm>
        <a:prstGeom prst="rect">
          <a:avLst/>
        </a:prstGeom>
        <a:ln w="12700" cap="flat">
          <a:noFill/>
          <a:miter lim="400000"/>
        </a:ln>
        <a:effectLst/>
      </xdr:spPr>
    </xdr:pic>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34016</xdr:colOff>
      <xdr:row>2</xdr:row>
      <xdr:rowOff>199133</xdr:rowOff>
    </xdr:from>
    <xdr:to>
      <xdr:col>2</xdr:col>
      <xdr:colOff>380999</xdr:colOff>
      <xdr:row>2</xdr:row>
      <xdr:rowOff>808207</xdr:rowOff>
    </xdr:to>
    <xdr:pic>
      <xdr:nvPicPr>
        <xdr:cNvPr id="8" name="Imagen 919266978" descr="Imagen 919266978"/>
        <xdr:cNvPicPr>
          <a:picLocks noChangeAspect="1"/>
        </xdr:cNvPicPr>
      </xdr:nvPicPr>
      <xdr:blipFill>
        <a:blip r:embed="rId1">
          <a:extLst/>
        </a:blip>
        <a:srcRect l="5222" t="0" r="8623" b="0"/>
        <a:stretch>
          <a:fillRect/>
        </a:stretch>
      </xdr:blipFill>
      <xdr:spPr>
        <a:xfrm>
          <a:off x="719816" y="903983"/>
          <a:ext cx="651784" cy="609075"/>
        </a:xfrm>
        <a:prstGeom prst="rect">
          <a:avLst/>
        </a:prstGeom>
        <a:ln w="12700" cap="flat">
          <a:noFill/>
          <a:miter lim="400000"/>
        </a:ln>
        <a:effectLst/>
      </xdr:spPr>
    </xdr:pic>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82362</xdr:colOff>
      <xdr:row>2</xdr:row>
      <xdr:rowOff>280147</xdr:rowOff>
    </xdr:from>
    <xdr:to>
      <xdr:col>2</xdr:col>
      <xdr:colOff>149037</xdr:colOff>
      <xdr:row>2</xdr:row>
      <xdr:rowOff>682940</xdr:rowOff>
    </xdr:to>
    <xdr:pic>
      <xdr:nvPicPr>
        <xdr:cNvPr id="10" name="Imagen 919266978" descr="Imagen 919266978"/>
        <xdr:cNvPicPr>
          <a:picLocks noChangeAspect="1"/>
        </xdr:cNvPicPr>
      </xdr:nvPicPr>
      <xdr:blipFill>
        <a:blip r:embed="rId1">
          <a:extLst/>
        </a:blip>
        <a:srcRect l="5223" t="0" r="8623" b="0"/>
        <a:stretch>
          <a:fillRect/>
        </a:stretch>
      </xdr:blipFill>
      <xdr:spPr>
        <a:xfrm>
          <a:off x="730062" y="784971"/>
          <a:ext cx="371476" cy="402795"/>
        </a:xfrm>
        <a:prstGeom prst="rect">
          <a:avLst/>
        </a:prstGeom>
        <a:ln w="12700" cap="flat">
          <a:noFill/>
          <a:miter lim="400000"/>
        </a:ln>
        <a:effectLst/>
      </xdr:spPr>
    </xdr:pic>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38099</xdr:colOff>
      <xdr:row>2</xdr:row>
      <xdr:rowOff>314325</xdr:rowOff>
    </xdr:from>
    <xdr:to>
      <xdr:col>2</xdr:col>
      <xdr:colOff>104774</xdr:colOff>
      <xdr:row>2</xdr:row>
      <xdr:rowOff>638117</xdr:rowOff>
    </xdr:to>
    <xdr:pic>
      <xdr:nvPicPr>
        <xdr:cNvPr id="12" name="Imagen 919266978" descr="Imagen 919266978"/>
        <xdr:cNvPicPr>
          <a:picLocks noChangeAspect="1"/>
        </xdr:cNvPicPr>
      </xdr:nvPicPr>
      <xdr:blipFill>
        <a:blip r:embed="rId1">
          <a:extLst/>
        </a:blip>
        <a:srcRect l="5223" t="0" r="8623" b="0"/>
        <a:stretch>
          <a:fillRect/>
        </a:stretch>
      </xdr:blipFill>
      <xdr:spPr>
        <a:xfrm>
          <a:off x="863599" y="819150"/>
          <a:ext cx="371476" cy="323793"/>
        </a:xfrm>
        <a:prstGeom prst="rect">
          <a:avLst/>
        </a:prstGeom>
        <a:ln w="12700" cap="flat">
          <a:noFill/>
          <a:miter lim="400000"/>
        </a:ln>
        <a:effectLst/>
      </xdr:spPr>
    </xdr:pic>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62190</xdr:colOff>
      <xdr:row>2</xdr:row>
      <xdr:rowOff>313764</xdr:rowOff>
    </xdr:from>
    <xdr:to>
      <xdr:col>2</xdr:col>
      <xdr:colOff>128865</xdr:colOff>
      <xdr:row>2</xdr:row>
      <xdr:rowOff>624670</xdr:rowOff>
    </xdr:to>
    <xdr:pic>
      <xdr:nvPicPr>
        <xdr:cNvPr id="14" name="Imagen 919266978" descr="Imagen 919266978"/>
        <xdr:cNvPicPr>
          <a:picLocks noChangeAspect="1"/>
        </xdr:cNvPicPr>
      </xdr:nvPicPr>
      <xdr:blipFill>
        <a:blip r:embed="rId1">
          <a:extLst/>
        </a:blip>
        <a:srcRect l="5223" t="0" r="8623" b="0"/>
        <a:stretch>
          <a:fillRect/>
        </a:stretch>
      </xdr:blipFill>
      <xdr:spPr>
        <a:xfrm>
          <a:off x="887690" y="647138"/>
          <a:ext cx="371476" cy="310908"/>
        </a:xfrm>
        <a:prstGeom prst="rect">
          <a:avLst/>
        </a:prstGeom>
        <a:ln w="12700" cap="flat">
          <a:noFill/>
          <a:miter lim="400000"/>
        </a:ln>
        <a:effectLst/>
      </xdr:spPr>
    </xdr:pic>
    <xdr:clientData/>
  </xdr:twoCellAnchor>
</xdr:wsDr>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xdr:col>
      <xdr:colOff>25961</xdr:colOff>
      <xdr:row>2</xdr:row>
      <xdr:rowOff>336176</xdr:rowOff>
    </xdr:from>
    <xdr:to>
      <xdr:col>2</xdr:col>
      <xdr:colOff>170832</xdr:colOff>
      <xdr:row>2</xdr:row>
      <xdr:rowOff>734579</xdr:rowOff>
    </xdr:to>
    <xdr:pic>
      <xdr:nvPicPr>
        <xdr:cNvPr id="16" name="Imagen 919266978" descr="Imagen 919266978"/>
        <xdr:cNvPicPr>
          <a:picLocks noChangeAspect="1"/>
        </xdr:cNvPicPr>
      </xdr:nvPicPr>
      <xdr:blipFill>
        <a:blip r:embed="rId1">
          <a:extLst/>
        </a:blip>
        <a:srcRect l="5222" t="0" r="8623" b="0"/>
        <a:stretch>
          <a:fillRect/>
        </a:stretch>
      </xdr:blipFill>
      <xdr:spPr>
        <a:xfrm>
          <a:off x="394261" y="841000"/>
          <a:ext cx="449672" cy="398404"/>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_rels/sheet4.xml.rels><?xml version="1.0" encoding="UTF-8"?>
<Relationships xmlns="http://schemas.openxmlformats.org/package/2006/relationships"><Relationship Id="rId1" Type="http://schemas.openxmlformats.org/officeDocument/2006/relationships/drawing" Target="../drawings/drawing3.xml"/></Relationships>

</file>

<file path=xl/worksheets/_rels/sheet5.xml.rels><?xml version="1.0" encoding="UTF-8"?>
<Relationships xmlns="http://schemas.openxmlformats.org/package/2006/relationships"><Relationship Id="rId1" Type="http://schemas.openxmlformats.org/officeDocument/2006/relationships/drawing" Target="../drawings/drawing4.xml"/></Relationships>

</file>

<file path=xl/worksheets/_rels/sheet6.xml.rels><?xml version="1.0" encoding="UTF-8"?>
<Relationships xmlns="http://schemas.openxmlformats.org/package/2006/relationships"><Relationship Id="rId1" Type="http://schemas.openxmlformats.org/officeDocument/2006/relationships/drawing" Target="../drawings/drawing5.xml"/></Relationships>

</file>

<file path=xl/worksheets/_rels/sheet7.xml.rels><?xml version="1.0" encoding="UTF-8"?>
<Relationships xmlns="http://schemas.openxmlformats.org/package/2006/relationships"><Relationship Id="rId1" Type="http://schemas.openxmlformats.org/officeDocument/2006/relationships/drawing" Target="../drawings/drawing6.xml"/></Relationships>

</file>

<file path=xl/worksheets/_rels/sheet8.xml.rels><?xml version="1.0" encoding="UTF-8"?>
<Relationships xmlns="http://schemas.openxmlformats.org/package/2006/relationships"><Relationship Id="rId1" Type="http://schemas.openxmlformats.org/officeDocument/2006/relationships/drawing" Target="../drawings/drawing7.xml"/></Relationships>

</file>

<file path=xl/worksheets/_rels/sheet9.xml.rels><?xml version="1.0" encoding="UTF-8"?>
<Relationships xmlns="http://schemas.openxmlformats.org/package/2006/relationships"><Relationship Id="rId1" Type="http://schemas.openxmlformats.org/officeDocument/2006/relationships/drawing" Target="../drawings/drawing8.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127</v>
      </c>
      <c r="C11" s="3"/>
      <c r="D11" s="3"/>
    </row>
    <row r="12">
      <c r="B12" s="4"/>
      <c r="C12" t="s" s="4">
        <v>5</v>
      </c>
      <c r="D12" t="s" s="5">
        <v>127</v>
      </c>
    </row>
    <row r="13">
      <c r="B13" t="s" s="3">
        <v>261</v>
      </c>
      <c r="C13" s="3"/>
      <c r="D13" s="3"/>
    </row>
    <row r="14">
      <c r="B14" s="4"/>
      <c r="C14" t="s" s="4">
        <v>5</v>
      </c>
      <c r="D14" t="s" s="5">
        <v>261</v>
      </c>
    </row>
    <row r="15">
      <c r="B15" t="s" s="3">
        <v>392</v>
      </c>
      <c r="C15" s="3"/>
      <c r="D15" s="3"/>
    </row>
    <row r="16">
      <c r="B16" s="4"/>
      <c r="C16" t="s" s="4">
        <v>5</v>
      </c>
      <c r="D16" t="s" s="5">
        <v>392</v>
      </c>
    </row>
    <row r="17">
      <c r="B17" t="s" s="3">
        <v>487</v>
      </c>
      <c r="C17" s="3"/>
      <c r="D17" s="3"/>
    </row>
    <row r="18">
      <c r="B18" s="4"/>
      <c r="C18" t="s" s="4">
        <v>5</v>
      </c>
      <c r="D18" t="s" s="5">
        <v>487</v>
      </c>
    </row>
    <row r="19">
      <c r="B19" t="s" s="3">
        <v>562</v>
      </c>
      <c r="C19" s="3"/>
      <c r="D19" s="3"/>
    </row>
    <row r="20">
      <c r="B20" s="4"/>
      <c r="C20" t="s" s="4">
        <v>5</v>
      </c>
      <c r="D20" t="s" s="5">
        <v>562</v>
      </c>
    </row>
    <row r="21">
      <c r="B21" t="s" s="3">
        <v>639</v>
      </c>
      <c r="C21" s="3"/>
      <c r="D21" s="3"/>
    </row>
    <row r="22">
      <c r="B22" s="4"/>
      <c r="C22" t="s" s="4">
        <v>5</v>
      </c>
      <c r="D22" t="s" s="5">
        <v>639</v>
      </c>
    </row>
    <row r="23">
      <c r="B23" t="s" s="3">
        <v>702</v>
      </c>
      <c r="C23" s="3"/>
      <c r="D23" s="3"/>
    </row>
    <row r="24">
      <c r="B24" s="4"/>
      <c r="C24" t="s" s="4">
        <v>5</v>
      </c>
      <c r="D24" t="s" s="5">
        <v>702</v>
      </c>
    </row>
  </sheetData>
  <mergeCells count="1">
    <mergeCell ref="B3:D3"/>
  </mergeCells>
  <hyperlinks>
    <hyperlink ref="D10" location="'1ro Sec'!R1C1" tooltip="" display="1ro Sec"/>
    <hyperlink ref="D12" location="'2do Sec.'!R1C1" tooltip="" display="2do Sec."/>
    <hyperlink ref="D14" location="'3ro Sec'!R1C1" tooltip="" display="3ro Sec"/>
    <hyperlink ref="D16" location="'4to A Sec'!R1C1" tooltip="" display="4to A Sec"/>
    <hyperlink ref="D18" location="'4to B Sec'!R1C1" tooltip="" display="4to B Sec"/>
    <hyperlink ref="D20" location="'5to A Sec'!R1C1" tooltip="" display="5to A Sec"/>
    <hyperlink ref="D22" location="'5to B Sec'!R1C1" tooltip="" display="5to B Sec"/>
    <hyperlink ref="D24" location="'6to Sec.'!R1C1" tooltip="" display="6to Sec."/>
  </hyperlinks>
</worksheet>
</file>

<file path=xl/worksheets/sheet2.xml><?xml version="1.0" encoding="utf-8"?>
<worksheet xmlns:r="http://schemas.openxmlformats.org/officeDocument/2006/relationships" xmlns="http://schemas.openxmlformats.org/spreadsheetml/2006/main">
  <sheetPr>
    <pageSetUpPr fitToPage="1"/>
  </sheetPr>
  <dimension ref="A1:CT48"/>
  <sheetViews>
    <sheetView workbookViewId="0" showGridLines="0" defaultGridColor="1"/>
  </sheetViews>
  <sheetFormatPr defaultColWidth="10.8333" defaultRowHeight="15" customHeight="1" outlineLevelRow="0" outlineLevelCol="0"/>
  <cols>
    <col min="1" max="1" width="9.35156" style="6" customWidth="1"/>
    <col min="2" max="2" width="4" style="6" customWidth="1"/>
    <col min="3" max="3" width="25.6719" style="6" customWidth="1"/>
    <col min="4" max="4" width="18.8516" style="6" customWidth="1"/>
    <col min="5" max="18" width="3" style="6" customWidth="1"/>
    <col min="19" max="19" width="2.67188" style="6" customWidth="1"/>
    <col min="20" max="29" width="5.17188" style="6" customWidth="1"/>
    <col min="30" max="30" width="3.5" style="6" customWidth="1"/>
    <col min="31" max="31" width="5.67188" style="6" customWidth="1"/>
    <col min="32" max="32" width="5.5" style="6" customWidth="1"/>
    <col min="33" max="33" width="1.5" style="6" customWidth="1"/>
    <col min="34" max="35" width="5.35156" style="6" customWidth="1"/>
    <col min="36" max="36" width="1.5" style="6" customWidth="1"/>
    <col min="37" max="38" width="5.17188" style="6" customWidth="1"/>
    <col min="39" max="39" width="1.5" style="6" customWidth="1"/>
    <col min="40" max="42" width="4.5" style="6" customWidth="1"/>
    <col min="43" max="43" width="5" style="6" customWidth="1"/>
    <col min="44" max="44" width="5.67188" style="6" customWidth="1"/>
    <col min="45" max="45" width="5.5" style="6" customWidth="1"/>
    <col min="46" max="46" width="1.5" style="6" customWidth="1"/>
    <col min="47" max="48" width="5.35156" style="6" customWidth="1"/>
    <col min="49" max="49" width="1.5" style="6" customWidth="1"/>
    <col min="50" max="51" width="5.17188" style="6" customWidth="1"/>
    <col min="52" max="52" width="1.5" style="6" customWidth="1"/>
    <col min="53" max="56" width="4.5" style="6" customWidth="1"/>
    <col min="57" max="57" width="5.67188" style="6" customWidth="1"/>
    <col min="58" max="58" width="5.5" style="6" customWidth="1"/>
    <col min="59" max="59" width="1.5" style="6" customWidth="1"/>
    <col min="60" max="61" width="5.35156" style="6" customWidth="1"/>
    <col min="62" max="62" width="1.5" style="6" customWidth="1"/>
    <col min="63" max="64" width="5.17188" style="6" customWidth="1"/>
    <col min="65" max="65" width="1.5" style="6" customWidth="1"/>
    <col min="66" max="68" width="4.5" style="6" customWidth="1"/>
    <col min="69" max="69" width="4" style="6" customWidth="1"/>
    <col min="70" max="70" width="5.67188" style="6" customWidth="1"/>
    <col min="71" max="71" width="5.5" style="6" customWidth="1"/>
    <col min="72" max="72" width="1.5" style="6" customWidth="1"/>
    <col min="73" max="74" width="5.35156" style="6" customWidth="1"/>
    <col min="75" max="75" width="1.5" style="6" customWidth="1"/>
    <col min="76" max="77" width="5.17188" style="6" customWidth="1"/>
    <col min="78" max="78" width="1.5" style="6" customWidth="1"/>
    <col min="79" max="81" width="4.5" style="6" customWidth="1"/>
    <col min="82" max="82" width="4" style="6" customWidth="1"/>
    <col min="83" max="86" width="6.5" style="6" customWidth="1"/>
    <col min="87" max="87" width="5.17188" style="6" customWidth="1"/>
    <col min="88" max="88" width="5.67188" style="6" customWidth="1"/>
    <col min="89" max="89" width="2.5" style="6" customWidth="1"/>
    <col min="90" max="93" width="5.17188" style="6" customWidth="1"/>
    <col min="94" max="94" width="2.85156" style="6" customWidth="1"/>
    <col min="95" max="98" width="4.67188" style="6" customWidth="1"/>
    <col min="99" max="16384" width="10.8516" style="6" customWidth="1"/>
  </cols>
  <sheetData>
    <row r="1" ht="18" customHeight="1">
      <c r="A1" s="7"/>
      <c r="B1" s="8">
        <v>43</v>
      </c>
      <c r="C1" s="7"/>
      <c r="D1" s="7"/>
      <c r="E1" t="s" s="9">
        <v>6</v>
      </c>
      <c r="F1" s="10"/>
      <c r="G1" s="10"/>
      <c r="H1" s="10"/>
      <c r="I1" s="10"/>
      <c r="J1" s="10"/>
      <c r="K1" s="10"/>
      <c r="L1" s="10"/>
      <c r="M1" s="10"/>
      <c r="N1" s="10"/>
      <c r="O1" s="10"/>
      <c r="P1" s="10"/>
      <c r="Q1" s="10"/>
      <c r="R1" s="10"/>
      <c r="S1" s="11"/>
      <c r="T1" s="12"/>
      <c r="U1" s="12"/>
      <c r="V1" s="12"/>
      <c r="W1" s="12"/>
      <c r="X1" s="12"/>
      <c r="Y1" s="12"/>
      <c r="Z1" s="12"/>
      <c r="AA1" s="12"/>
      <c r="AB1" s="12"/>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2"/>
      <c r="CF1" s="12"/>
      <c r="CG1" s="12"/>
      <c r="CH1" s="12"/>
      <c r="CI1" s="13"/>
      <c r="CJ1" s="13"/>
      <c r="CK1" s="13"/>
      <c r="CL1" s="12"/>
      <c r="CM1" s="12"/>
      <c r="CN1" s="12"/>
      <c r="CO1" s="12"/>
      <c r="CP1" s="13"/>
      <c r="CQ1" s="12"/>
      <c r="CR1" s="12"/>
      <c r="CS1" s="12"/>
      <c r="CT1" s="14"/>
    </row>
    <row r="2" ht="12" customHeight="1">
      <c r="A2" s="7"/>
      <c r="B2" s="15"/>
      <c r="C2" s="7"/>
      <c r="D2" s="16"/>
      <c r="E2" s="17">
        <v>1</v>
      </c>
      <c r="F2" s="17">
        <v>2</v>
      </c>
      <c r="G2" s="17">
        <v>3</v>
      </c>
      <c r="H2" s="17">
        <v>4</v>
      </c>
      <c r="I2" s="17">
        <v>5</v>
      </c>
      <c r="J2" s="17">
        <v>6</v>
      </c>
      <c r="K2" s="17">
        <v>7</v>
      </c>
      <c r="L2" s="17">
        <v>8</v>
      </c>
      <c r="M2" s="17">
        <v>9</v>
      </c>
      <c r="N2" s="17">
        <v>10</v>
      </c>
      <c r="O2" s="17">
        <v>11</v>
      </c>
      <c r="P2" s="17">
        <v>12</v>
      </c>
      <c r="Q2" s="17">
        <v>13</v>
      </c>
      <c r="R2" s="17">
        <v>14</v>
      </c>
      <c r="S2" s="18"/>
      <c r="T2" t="s" s="19">
        <v>7</v>
      </c>
      <c r="U2" s="20"/>
      <c r="V2" s="20"/>
      <c r="W2" s="20"/>
      <c r="X2" s="20"/>
      <c r="Y2" s="20"/>
      <c r="Z2" s="20"/>
      <c r="AA2" s="20"/>
      <c r="AB2" s="21"/>
      <c r="AC2" s="22"/>
      <c r="AD2" s="23"/>
      <c r="AE2" s="24"/>
      <c r="AF2" s="24"/>
      <c r="AG2" s="24"/>
      <c r="AH2" s="24"/>
      <c r="AI2" s="24"/>
      <c r="AJ2" s="24"/>
      <c r="AK2" s="24"/>
      <c r="AL2" s="24"/>
      <c r="AM2" s="24"/>
      <c r="AN2" s="24"/>
      <c r="AO2" s="24"/>
      <c r="AP2" s="23"/>
      <c r="AQ2" s="23"/>
      <c r="AR2" s="24"/>
      <c r="AS2" s="24"/>
      <c r="AT2" s="24"/>
      <c r="AU2" s="24"/>
      <c r="AV2" s="24"/>
      <c r="AW2" s="24"/>
      <c r="AX2" s="24"/>
      <c r="AY2" s="24"/>
      <c r="AZ2" s="24"/>
      <c r="BA2" s="24"/>
      <c r="BB2" s="24"/>
      <c r="BC2" s="23"/>
      <c r="BD2" s="23"/>
      <c r="BE2" s="24"/>
      <c r="BF2" s="24"/>
      <c r="BG2" s="24"/>
      <c r="BH2" s="24"/>
      <c r="BI2" s="24"/>
      <c r="BJ2" s="24"/>
      <c r="BK2" s="24"/>
      <c r="BL2" s="24"/>
      <c r="BM2" s="24"/>
      <c r="BN2" s="24"/>
      <c r="BO2" s="24"/>
      <c r="BP2" s="23"/>
      <c r="BQ2" s="23"/>
      <c r="BR2" s="24"/>
      <c r="BS2" s="24"/>
      <c r="BT2" s="24"/>
      <c r="BU2" s="24"/>
      <c r="BV2" s="24"/>
      <c r="BW2" s="24"/>
      <c r="BX2" s="24"/>
      <c r="BY2" s="24"/>
      <c r="BZ2" s="24"/>
      <c r="CA2" s="24"/>
      <c r="CB2" s="24"/>
      <c r="CC2" s="23"/>
      <c r="CD2" s="25"/>
      <c r="CE2" t="s" s="26">
        <v>8</v>
      </c>
      <c r="CF2" s="27"/>
      <c r="CG2" s="27"/>
      <c r="CH2" s="27"/>
      <c r="CI2" s="28"/>
      <c r="CJ2" s="24"/>
      <c r="CK2" s="25"/>
      <c r="CL2" t="s" s="29">
        <v>9</v>
      </c>
      <c r="CM2" s="30"/>
      <c r="CN2" s="30"/>
      <c r="CO2" s="30"/>
      <c r="CP2" s="18"/>
      <c r="CQ2" t="s" s="29">
        <v>10</v>
      </c>
      <c r="CR2" s="30"/>
      <c r="CS2" s="30"/>
      <c r="CT2" s="30"/>
    </row>
    <row r="3" ht="54" customHeight="1">
      <c r="A3" s="31">
        <v>1</v>
      </c>
      <c r="B3" s="32"/>
      <c r="C3" t="s" s="33">
        <v>11</v>
      </c>
      <c r="D3" s="34"/>
      <c r="E3" s="35"/>
      <c r="F3" s="35"/>
      <c r="G3" s="35"/>
      <c r="H3" s="35"/>
      <c r="I3" s="35"/>
      <c r="J3" s="35"/>
      <c r="K3" s="35"/>
      <c r="L3" s="35"/>
      <c r="M3" s="35"/>
      <c r="N3" s="35"/>
      <c r="O3" s="35"/>
      <c r="P3" s="35"/>
      <c r="Q3" s="35"/>
      <c r="R3" s="35"/>
      <c r="S3" s="18"/>
      <c r="T3" s="35"/>
      <c r="U3" s="35"/>
      <c r="V3" s="35"/>
      <c r="W3" s="35"/>
      <c r="X3" s="35"/>
      <c r="Y3" s="35"/>
      <c r="Z3" s="35"/>
      <c r="AA3" s="35"/>
      <c r="AB3" t="s" s="36">
        <v>12</v>
      </c>
      <c r="AC3" s="37"/>
      <c r="AD3" s="25"/>
      <c r="AE3" t="s" s="38">
        <v>13</v>
      </c>
      <c r="AF3" s="39"/>
      <c r="AG3" s="39"/>
      <c r="AH3" s="39"/>
      <c r="AI3" s="39"/>
      <c r="AJ3" s="39"/>
      <c r="AK3" s="39"/>
      <c r="AL3" s="39"/>
      <c r="AM3" s="39"/>
      <c r="AN3" s="39"/>
      <c r="AO3" s="40"/>
      <c r="AP3" s="28"/>
      <c r="AQ3" s="25"/>
      <c r="AR3" t="s" s="41">
        <v>14</v>
      </c>
      <c r="AS3" s="42"/>
      <c r="AT3" s="42"/>
      <c r="AU3" s="42"/>
      <c r="AV3" s="42"/>
      <c r="AW3" s="42"/>
      <c r="AX3" s="42"/>
      <c r="AY3" s="42"/>
      <c r="AZ3" s="42"/>
      <c r="BA3" s="42"/>
      <c r="BB3" s="43"/>
      <c r="BC3" s="44"/>
      <c r="BD3" s="25"/>
      <c r="BE3" t="s" s="45">
        <v>15</v>
      </c>
      <c r="BF3" s="46"/>
      <c r="BG3" s="46"/>
      <c r="BH3" s="46"/>
      <c r="BI3" s="46"/>
      <c r="BJ3" s="46"/>
      <c r="BK3" s="46"/>
      <c r="BL3" s="46"/>
      <c r="BM3" s="46"/>
      <c r="BN3" s="46"/>
      <c r="BO3" s="47"/>
      <c r="BP3" s="44"/>
      <c r="BQ3" s="25"/>
      <c r="BR3" t="s" s="48">
        <v>16</v>
      </c>
      <c r="BS3" s="49"/>
      <c r="BT3" s="49"/>
      <c r="BU3" s="49"/>
      <c r="BV3" s="49"/>
      <c r="BW3" s="49"/>
      <c r="BX3" s="49"/>
      <c r="BY3" s="49"/>
      <c r="BZ3" s="49"/>
      <c r="CA3" s="49"/>
      <c r="CB3" s="50"/>
      <c r="CC3" s="44"/>
      <c r="CD3" s="25"/>
      <c r="CE3" t="s" s="51">
        <v>17</v>
      </c>
      <c r="CF3" t="s" s="51">
        <v>18</v>
      </c>
      <c r="CG3" t="s" s="51">
        <v>19</v>
      </c>
      <c r="CH3" t="s" s="51">
        <v>20</v>
      </c>
      <c r="CI3" s="18"/>
      <c r="CJ3" t="s" s="52">
        <v>21</v>
      </c>
      <c r="CK3" s="18"/>
      <c r="CL3" t="s" s="53">
        <v>22</v>
      </c>
      <c r="CM3" t="s" s="53">
        <v>23</v>
      </c>
      <c r="CN3" t="s" s="53">
        <v>24</v>
      </c>
      <c r="CO3" t="s" s="53">
        <v>25</v>
      </c>
      <c r="CP3" s="18"/>
      <c r="CQ3" t="s" s="53">
        <v>26</v>
      </c>
      <c r="CR3" t="s" s="53">
        <v>27</v>
      </c>
      <c r="CS3" t="s" s="53">
        <v>28</v>
      </c>
      <c r="CT3" t="s" s="53">
        <v>29</v>
      </c>
    </row>
    <row r="4" ht="19.5" customHeight="1">
      <c r="A4" s="31">
        <v>1</v>
      </c>
      <c r="B4" t="s" s="54">
        <v>30</v>
      </c>
      <c r="C4" t="s" s="55">
        <v>31</v>
      </c>
      <c r="D4" t="s" s="55">
        <v>32</v>
      </c>
      <c r="E4" s="56"/>
      <c r="F4" s="57"/>
      <c r="G4" s="56"/>
      <c r="H4" s="57"/>
      <c r="I4" s="56"/>
      <c r="J4" s="57"/>
      <c r="K4" s="58"/>
      <c r="L4" s="58"/>
      <c r="M4" s="58"/>
      <c r="N4" s="58"/>
      <c r="O4" s="58"/>
      <c r="P4" s="58"/>
      <c r="Q4" s="58"/>
      <c r="R4" s="58"/>
      <c r="S4" s="59"/>
      <c r="T4" s="58"/>
      <c r="U4" s="58"/>
      <c r="V4" s="58"/>
      <c r="W4" s="58"/>
      <c r="X4" s="58"/>
      <c r="Y4" s="58"/>
      <c r="Z4" s="58"/>
      <c r="AA4" s="58"/>
      <c r="AB4" s="58"/>
      <c r="AC4" s="28"/>
      <c r="AD4" s="60"/>
      <c r="AE4" t="s" s="61">
        <v>33</v>
      </c>
      <c r="AF4" t="s" s="62">
        <v>34</v>
      </c>
      <c r="AG4" s="63"/>
      <c r="AH4" t="s" s="61">
        <v>35</v>
      </c>
      <c r="AI4" t="s" s="62">
        <v>36</v>
      </c>
      <c r="AJ4" s="63"/>
      <c r="AK4" t="s" s="61">
        <v>37</v>
      </c>
      <c r="AL4" t="s" s="62">
        <v>38</v>
      </c>
      <c r="AM4" s="63"/>
      <c r="AN4" t="s" s="61">
        <v>39</v>
      </c>
      <c r="AO4" t="s" s="62">
        <v>40</v>
      </c>
      <c r="AP4" s="28"/>
      <c r="AQ4" s="60"/>
      <c r="AR4" t="s" s="61">
        <v>33</v>
      </c>
      <c r="AS4" t="s" s="62">
        <v>34</v>
      </c>
      <c r="AT4" s="63"/>
      <c r="AU4" t="s" s="61">
        <v>35</v>
      </c>
      <c r="AV4" t="s" s="62">
        <v>36</v>
      </c>
      <c r="AW4" s="63"/>
      <c r="AX4" t="s" s="61">
        <v>37</v>
      </c>
      <c r="AY4" t="s" s="62">
        <v>38</v>
      </c>
      <c r="AZ4" s="63"/>
      <c r="BA4" t="s" s="61">
        <v>39</v>
      </c>
      <c r="BB4" t="s" s="62">
        <v>40</v>
      </c>
      <c r="BC4" s="28"/>
      <c r="BD4" s="60"/>
      <c r="BE4" t="s" s="61">
        <v>33</v>
      </c>
      <c r="BF4" t="s" s="62">
        <v>34</v>
      </c>
      <c r="BG4" s="63"/>
      <c r="BH4" t="s" s="61">
        <v>35</v>
      </c>
      <c r="BI4" t="s" s="62">
        <v>36</v>
      </c>
      <c r="BJ4" s="63"/>
      <c r="BK4" t="s" s="61">
        <v>37</v>
      </c>
      <c r="BL4" t="s" s="62">
        <v>38</v>
      </c>
      <c r="BM4" s="63"/>
      <c r="BN4" t="s" s="61">
        <v>39</v>
      </c>
      <c r="BO4" t="s" s="62">
        <v>40</v>
      </c>
      <c r="BP4" s="28"/>
      <c r="BQ4" s="60"/>
      <c r="BR4" t="s" s="61">
        <v>33</v>
      </c>
      <c r="BS4" t="s" s="62">
        <v>34</v>
      </c>
      <c r="BT4" s="63"/>
      <c r="BU4" t="s" s="61">
        <v>35</v>
      </c>
      <c r="BV4" t="s" s="62">
        <v>36</v>
      </c>
      <c r="BW4" s="63"/>
      <c r="BX4" t="s" s="61">
        <v>37</v>
      </c>
      <c r="BY4" t="s" s="62">
        <v>38</v>
      </c>
      <c r="BZ4" s="63"/>
      <c r="CA4" t="s" s="61">
        <v>39</v>
      </c>
      <c r="CB4" t="s" s="62">
        <v>40</v>
      </c>
      <c r="CC4" s="64"/>
      <c r="CD4" s="60"/>
      <c r="CE4" s="65"/>
      <c r="CF4" s="65"/>
      <c r="CG4" s="65"/>
      <c r="CH4" s="65"/>
      <c r="CI4" s="18"/>
      <c r="CJ4" s="66"/>
      <c r="CK4" s="18"/>
      <c r="CL4" s="67"/>
      <c r="CM4" s="67"/>
      <c r="CN4" s="67"/>
      <c r="CO4" s="67"/>
      <c r="CP4" s="18"/>
      <c r="CQ4" s="67"/>
      <c r="CR4" s="67"/>
      <c r="CS4" s="67"/>
      <c r="CT4" s="67"/>
    </row>
    <row r="5" ht="19.5" customHeight="1">
      <c r="A5" s="68"/>
      <c r="B5" s="69">
        <v>1</v>
      </c>
      <c r="C5" t="s" s="70">
        <v>41</v>
      </c>
      <c r="D5" t="s" s="71">
        <v>42</v>
      </c>
      <c r="E5" t="s" s="72">
        <v>43</v>
      </c>
      <c r="F5" s="73"/>
      <c r="G5" s="74"/>
      <c r="H5" s="73"/>
      <c r="I5" s="74"/>
      <c r="J5" s="73"/>
      <c r="K5" s="75"/>
      <c r="L5" s="76"/>
      <c r="M5" s="75"/>
      <c r="N5" s="76"/>
      <c r="O5" s="75"/>
      <c r="P5" s="76"/>
      <c r="Q5" s="75"/>
      <c r="R5" s="76"/>
      <c r="S5" s="18"/>
      <c r="T5" s="76"/>
      <c r="U5" s="75"/>
      <c r="V5" s="76"/>
      <c r="W5" s="75"/>
      <c r="X5" s="75"/>
      <c r="Y5" s="76"/>
      <c r="Z5" s="75"/>
      <c r="AA5" s="76"/>
      <c r="AB5" s="77">
        <f>SUM(T5:AA5)</f>
        <v>0</v>
      </c>
      <c r="AC5" s="18"/>
      <c r="AD5" s="78">
        <v>1</v>
      </c>
      <c r="AE5" s="76"/>
      <c r="AF5" s="75"/>
      <c r="AG5" s="18"/>
      <c r="AH5" s="76"/>
      <c r="AI5" s="75"/>
      <c r="AJ5" s="18"/>
      <c r="AK5" s="76"/>
      <c r="AL5" s="75"/>
      <c r="AM5" s="18"/>
      <c r="AN5" s="76"/>
      <c r="AO5" s="75"/>
      <c r="AP5" s="18"/>
      <c r="AQ5" s="78">
        <v>1</v>
      </c>
      <c r="AR5" s="76"/>
      <c r="AS5" s="75"/>
      <c r="AT5" s="18"/>
      <c r="AU5" s="76"/>
      <c r="AV5" s="75"/>
      <c r="AW5" s="18"/>
      <c r="AX5" s="76"/>
      <c r="AY5" s="75"/>
      <c r="AZ5" s="18"/>
      <c r="BA5" s="76"/>
      <c r="BB5" s="75"/>
      <c r="BC5" s="18"/>
      <c r="BD5" s="78">
        <v>1</v>
      </c>
      <c r="BE5" s="76"/>
      <c r="BF5" s="75"/>
      <c r="BG5" s="18"/>
      <c r="BH5" s="76"/>
      <c r="BI5" s="75"/>
      <c r="BJ5" s="18"/>
      <c r="BK5" s="76"/>
      <c r="BL5" s="75"/>
      <c r="BM5" s="18"/>
      <c r="BN5" s="76"/>
      <c r="BO5" s="75"/>
      <c r="BP5" s="18"/>
      <c r="BQ5" s="78">
        <v>1</v>
      </c>
      <c r="BR5" s="76"/>
      <c r="BS5" s="75"/>
      <c r="BT5" s="18"/>
      <c r="BU5" s="76"/>
      <c r="BV5" s="75"/>
      <c r="BW5" s="18"/>
      <c r="BX5" s="76"/>
      <c r="BY5" s="75"/>
      <c r="BZ5" s="18"/>
      <c r="CA5" s="76"/>
      <c r="CB5" s="75"/>
      <c r="CC5" s="18"/>
      <c r="CD5" s="78">
        <v>1</v>
      </c>
      <c r="CE5" s="79">
        <f>(AE5+AH5+AK5+AN5)/4</f>
        <v>0</v>
      </c>
      <c r="CF5" s="79">
        <f>(AR5+AU5+AX5+BA5)/4</f>
        <v>0</v>
      </c>
      <c r="CG5" s="79">
        <f>(BE5+BH5+BK5+BN5)/4</f>
        <v>0</v>
      </c>
      <c r="CH5" s="79">
        <f>(BR5+BU5+BX5+CA5)/4</f>
        <v>0</v>
      </c>
      <c r="CI5" s="18"/>
      <c r="CJ5" s="80">
        <f>SUM(CE5:CH5)/4</f>
        <v>0</v>
      </c>
      <c r="CK5" s="18"/>
      <c r="CL5" s="79">
        <f>CJ5*0.5</f>
        <v>0</v>
      </c>
      <c r="CM5" s="75"/>
      <c r="CN5" s="79">
        <f>CM5*0.5</f>
        <v>0</v>
      </c>
      <c r="CO5" s="81">
        <f>CN5+CL5</f>
        <v>0</v>
      </c>
      <c r="CP5" s="18"/>
      <c r="CQ5" s="79">
        <f>CJ5*0.3</f>
        <v>0</v>
      </c>
      <c r="CR5" s="75"/>
      <c r="CS5" s="79">
        <f>CR5*0.7</f>
        <v>0</v>
      </c>
      <c r="CT5" s="81">
        <f>CS5+CQ5</f>
        <v>0</v>
      </c>
    </row>
    <row r="6" ht="19.5" customHeight="1">
      <c r="A6" s="68"/>
      <c r="B6" s="69">
        <v>2</v>
      </c>
      <c r="C6" t="s" s="70">
        <v>44</v>
      </c>
      <c r="D6" t="s" s="71">
        <v>45</v>
      </c>
      <c r="E6" s="74"/>
      <c r="F6" s="82"/>
      <c r="G6" s="74"/>
      <c r="H6" s="82"/>
      <c r="I6" s="74"/>
      <c r="J6" s="82"/>
      <c r="K6" s="75"/>
      <c r="L6" s="76"/>
      <c r="M6" s="75"/>
      <c r="N6" s="76"/>
      <c r="O6" s="75"/>
      <c r="P6" s="76"/>
      <c r="Q6" s="75"/>
      <c r="R6" s="76"/>
      <c r="S6" s="18"/>
      <c r="T6" s="76"/>
      <c r="U6" s="75"/>
      <c r="V6" s="76"/>
      <c r="W6" s="75"/>
      <c r="X6" s="75"/>
      <c r="Y6" s="76"/>
      <c r="Z6" s="75"/>
      <c r="AA6" s="76"/>
      <c r="AB6" s="77">
        <f>SUM(T6:AA6)</f>
        <v>0</v>
      </c>
      <c r="AC6" s="18"/>
      <c r="AD6" s="78">
        <v>2</v>
      </c>
      <c r="AE6" s="76"/>
      <c r="AF6" s="75"/>
      <c r="AG6" s="18"/>
      <c r="AH6" s="76"/>
      <c r="AI6" s="75"/>
      <c r="AJ6" s="18"/>
      <c r="AK6" s="76"/>
      <c r="AL6" s="75"/>
      <c r="AM6" s="18"/>
      <c r="AN6" s="76"/>
      <c r="AO6" s="75"/>
      <c r="AP6" s="18"/>
      <c r="AQ6" s="78">
        <v>2</v>
      </c>
      <c r="AR6" s="76"/>
      <c r="AS6" s="75"/>
      <c r="AT6" s="18"/>
      <c r="AU6" s="76"/>
      <c r="AV6" s="75"/>
      <c r="AW6" s="18"/>
      <c r="AX6" s="76"/>
      <c r="AY6" s="75"/>
      <c r="AZ6" s="18"/>
      <c r="BA6" s="76"/>
      <c r="BB6" s="75"/>
      <c r="BC6" s="18"/>
      <c r="BD6" s="78">
        <v>2</v>
      </c>
      <c r="BE6" s="76"/>
      <c r="BF6" s="75"/>
      <c r="BG6" s="18"/>
      <c r="BH6" s="76"/>
      <c r="BI6" s="75"/>
      <c r="BJ6" s="18"/>
      <c r="BK6" s="76"/>
      <c r="BL6" s="75"/>
      <c r="BM6" s="18"/>
      <c r="BN6" s="76"/>
      <c r="BO6" s="75"/>
      <c r="BP6" s="18"/>
      <c r="BQ6" s="78">
        <v>2</v>
      </c>
      <c r="BR6" s="76"/>
      <c r="BS6" s="75"/>
      <c r="BT6" s="18"/>
      <c r="BU6" s="76"/>
      <c r="BV6" s="75"/>
      <c r="BW6" s="18"/>
      <c r="BX6" s="76"/>
      <c r="BY6" s="75"/>
      <c r="BZ6" s="18"/>
      <c r="CA6" s="76"/>
      <c r="CB6" s="75"/>
      <c r="CC6" s="18"/>
      <c r="CD6" s="78">
        <v>2</v>
      </c>
      <c r="CE6" s="79">
        <f>(AE6+AH6+AK6+AN6)/4</f>
        <v>0</v>
      </c>
      <c r="CF6" s="79">
        <f>(AR6+AU6+AX6+BA6)/4</f>
        <v>0</v>
      </c>
      <c r="CG6" s="79">
        <f>(BE6+BH6+BK6+BN6)/4</f>
        <v>0</v>
      </c>
      <c r="CH6" s="79">
        <f>(BR6+BU6+BX6+CA6)/4</f>
        <v>0</v>
      </c>
      <c r="CI6" s="18"/>
      <c r="CJ6" s="80">
        <f>SUM(CE6:CH6)/4</f>
        <v>0</v>
      </c>
      <c r="CK6" s="18"/>
      <c r="CL6" s="79">
        <f>CJ6*0.5</f>
        <v>0</v>
      </c>
      <c r="CM6" s="75"/>
      <c r="CN6" s="79">
        <f>CM6*0.5</f>
        <v>0</v>
      </c>
      <c r="CO6" s="81">
        <f>CN6+CL6</f>
        <v>0</v>
      </c>
      <c r="CP6" s="18"/>
      <c r="CQ6" s="79">
        <f>CJ6*0.3</f>
        <v>0</v>
      </c>
      <c r="CR6" s="75"/>
      <c r="CS6" s="79">
        <f>CR6*0.7</f>
        <v>0</v>
      </c>
      <c r="CT6" s="81">
        <f>CS6+CQ6</f>
        <v>0</v>
      </c>
    </row>
    <row r="7" ht="19.5" customHeight="1">
      <c r="A7" s="68"/>
      <c r="B7" s="69">
        <v>3</v>
      </c>
      <c r="C7" t="s" s="70">
        <v>46</v>
      </c>
      <c r="D7" t="s" s="71">
        <v>47</v>
      </c>
      <c r="E7" s="74"/>
      <c r="F7" s="82"/>
      <c r="G7" s="74"/>
      <c r="H7" s="82"/>
      <c r="I7" s="74"/>
      <c r="J7" s="82"/>
      <c r="K7" s="75"/>
      <c r="L7" s="76"/>
      <c r="M7" s="75"/>
      <c r="N7" s="76"/>
      <c r="O7" s="75"/>
      <c r="P7" s="76"/>
      <c r="Q7" s="75"/>
      <c r="R7" s="76"/>
      <c r="S7" s="18"/>
      <c r="T7" s="76"/>
      <c r="U7" s="75"/>
      <c r="V7" s="76"/>
      <c r="W7" s="75"/>
      <c r="X7" s="75"/>
      <c r="Y7" s="76"/>
      <c r="Z7" s="75"/>
      <c r="AA7" s="76"/>
      <c r="AB7" s="77">
        <f>SUM(T7:AA7)</f>
        <v>0</v>
      </c>
      <c r="AC7" s="18"/>
      <c r="AD7" s="78">
        <v>3</v>
      </c>
      <c r="AE7" s="76"/>
      <c r="AF7" s="75"/>
      <c r="AG7" s="18"/>
      <c r="AH7" s="76"/>
      <c r="AI7" s="75"/>
      <c r="AJ7" s="18"/>
      <c r="AK7" s="76"/>
      <c r="AL7" s="75"/>
      <c r="AM7" s="18"/>
      <c r="AN7" s="76"/>
      <c r="AO7" s="75"/>
      <c r="AP7" s="18"/>
      <c r="AQ7" s="78">
        <v>3</v>
      </c>
      <c r="AR7" s="76"/>
      <c r="AS7" s="75"/>
      <c r="AT7" s="18"/>
      <c r="AU7" s="76"/>
      <c r="AV7" s="75"/>
      <c r="AW7" s="18"/>
      <c r="AX7" s="76"/>
      <c r="AY7" s="75"/>
      <c r="AZ7" s="18"/>
      <c r="BA7" s="76"/>
      <c r="BB7" s="75"/>
      <c r="BC7" s="18"/>
      <c r="BD7" s="78">
        <v>3</v>
      </c>
      <c r="BE7" s="76"/>
      <c r="BF7" s="75"/>
      <c r="BG7" s="18"/>
      <c r="BH7" s="76"/>
      <c r="BI7" s="75"/>
      <c r="BJ7" s="18"/>
      <c r="BK7" s="76"/>
      <c r="BL7" s="75"/>
      <c r="BM7" s="18"/>
      <c r="BN7" s="76"/>
      <c r="BO7" s="75"/>
      <c r="BP7" s="18"/>
      <c r="BQ7" s="78">
        <v>3</v>
      </c>
      <c r="BR7" s="76"/>
      <c r="BS7" s="75"/>
      <c r="BT7" s="18"/>
      <c r="BU7" s="76"/>
      <c r="BV7" s="75"/>
      <c r="BW7" s="18"/>
      <c r="BX7" s="76"/>
      <c r="BY7" s="75"/>
      <c r="BZ7" s="18"/>
      <c r="CA7" s="76"/>
      <c r="CB7" s="75"/>
      <c r="CC7" s="18"/>
      <c r="CD7" s="78">
        <v>3</v>
      </c>
      <c r="CE7" s="79">
        <f>(AE7+AH7+AK7+AN7)/4</f>
        <v>0</v>
      </c>
      <c r="CF7" s="79">
        <f>(AR7+AU7+AX7+BA7)/4</f>
        <v>0</v>
      </c>
      <c r="CG7" s="79">
        <f>(BE7+BH7+BK7+BN7)/4</f>
        <v>0</v>
      </c>
      <c r="CH7" s="79">
        <f>(BR7+BU7+BX7+CA7)/4</f>
        <v>0</v>
      </c>
      <c r="CI7" s="18"/>
      <c r="CJ7" s="80">
        <f>SUM(CE7:CH7)/4</f>
        <v>0</v>
      </c>
      <c r="CK7" s="18"/>
      <c r="CL7" s="79">
        <f>CJ7*0.5</f>
        <v>0</v>
      </c>
      <c r="CM7" s="75"/>
      <c r="CN7" s="79">
        <f>CM7*0.5</f>
        <v>0</v>
      </c>
      <c r="CO7" s="81">
        <f>CN7+CL7</f>
        <v>0</v>
      </c>
      <c r="CP7" s="18"/>
      <c r="CQ7" s="79">
        <f>CJ7*0.3</f>
        <v>0</v>
      </c>
      <c r="CR7" s="75"/>
      <c r="CS7" s="79">
        <f>CR7*0.7</f>
        <v>0</v>
      </c>
      <c r="CT7" s="81">
        <f>CS7+CQ7</f>
        <v>0</v>
      </c>
    </row>
    <row r="8" ht="19.5" customHeight="1">
      <c r="A8" s="68"/>
      <c r="B8" s="69">
        <v>4</v>
      </c>
      <c r="C8" t="s" s="70">
        <v>48</v>
      </c>
      <c r="D8" t="s" s="71">
        <v>49</v>
      </c>
      <c r="E8" s="74"/>
      <c r="F8" s="82"/>
      <c r="G8" s="74"/>
      <c r="H8" s="82"/>
      <c r="I8" s="74"/>
      <c r="J8" s="82"/>
      <c r="K8" s="75"/>
      <c r="L8" s="76"/>
      <c r="M8" s="75"/>
      <c r="N8" s="76"/>
      <c r="O8" s="75"/>
      <c r="P8" s="76"/>
      <c r="Q8" s="75"/>
      <c r="R8" s="76"/>
      <c r="S8" s="18"/>
      <c r="T8" s="76"/>
      <c r="U8" s="75"/>
      <c r="V8" s="76"/>
      <c r="W8" s="75"/>
      <c r="X8" s="75"/>
      <c r="Y8" s="76"/>
      <c r="Z8" s="75"/>
      <c r="AA8" s="76"/>
      <c r="AB8" s="77">
        <f>SUM(T8:AA8)</f>
        <v>0</v>
      </c>
      <c r="AC8" s="18"/>
      <c r="AD8" s="78">
        <v>4</v>
      </c>
      <c r="AE8" s="76"/>
      <c r="AF8" s="75"/>
      <c r="AG8" s="18"/>
      <c r="AH8" s="76"/>
      <c r="AI8" s="75"/>
      <c r="AJ8" s="18"/>
      <c r="AK8" s="76"/>
      <c r="AL8" s="75"/>
      <c r="AM8" s="18"/>
      <c r="AN8" s="76"/>
      <c r="AO8" s="75"/>
      <c r="AP8" s="18"/>
      <c r="AQ8" s="78">
        <v>4</v>
      </c>
      <c r="AR8" s="76"/>
      <c r="AS8" s="75"/>
      <c r="AT8" s="18"/>
      <c r="AU8" s="76"/>
      <c r="AV8" s="75"/>
      <c r="AW8" s="18"/>
      <c r="AX8" s="76"/>
      <c r="AY8" s="75"/>
      <c r="AZ8" s="18"/>
      <c r="BA8" s="76"/>
      <c r="BB8" s="75"/>
      <c r="BC8" s="18"/>
      <c r="BD8" s="78">
        <v>4</v>
      </c>
      <c r="BE8" s="76"/>
      <c r="BF8" s="75"/>
      <c r="BG8" s="18"/>
      <c r="BH8" s="76"/>
      <c r="BI8" s="75"/>
      <c r="BJ8" s="18"/>
      <c r="BK8" s="76"/>
      <c r="BL8" s="75"/>
      <c r="BM8" s="18"/>
      <c r="BN8" s="76"/>
      <c r="BO8" s="75"/>
      <c r="BP8" s="18"/>
      <c r="BQ8" s="78">
        <v>4</v>
      </c>
      <c r="BR8" s="76"/>
      <c r="BS8" s="75"/>
      <c r="BT8" s="18"/>
      <c r="BU8" s="76"/>
      <c r="BV8" s="75"/>
      <c r="BW8" s="18"/>
      <c r="BX8" s="76"/>
      <c r="BY8" s="75"/>
      <c r="BZ8" s="18"/>
      <c r="CA8" s="76"/>
      <c r="CB8" s="75"/>
      <c r="CC8" s="18"/>
      <c r="CD8" s="78">
        <v>4</v>
      </c>
      <c r="CE8" s="79">
        <f>(AE8+AH8+AK8+AN8)/4</f>
        <v>0</v>
      </c>
      <c r="CF8" s="79">
        <f>(AR8+AU8+AX8+BA8)/4</f>
        <v>0</v>
      </c>
      <c r="CG8" s="79">
        <f>(BE8+BH8+BK8+BN8)/4</f>
        <v>0</v>
      </c>
      <c r="CH8" s="79">
        <f>(BR8+BU8+BX8+CA8)/4</f>
        <v>0</v>
      </c>
      <c r="CI8" s="18"/>
      <c r="CJ8" s="80">
        <f>SUM(CE8:CH8)/4</f>
        <v>0</v>
      </c>
      <c r="CK8" s="18"/>
      <c r="CL8" s="79">
        <f>CJ8*0.5</f>
        <v>0</v>
      </c>
      <c r="CM8" s="75"/>
      <c r="CN8" s="79">
        <f>CM8*0.5</f>
        <v>0</v>
      </c>
      <c r="CO8" s="81">
        <f>CN8+CL8</f>
        <v>0</v>
      </c>
      <c r="CP8" s="18"/>
      <c r="CQ8" s="79">
        <f>CJ8*0.3</f>
        <v>0</v>
      </c>
      <c r="CR8" s="75"/>
      <c r="CS8" s="79">
        <f>CR8*0.7</f>
        <v>0</v>
      </c>
      <c r="CT8" s="81">
        <f>CS8+CQ8</f>
        <v>0</v>
      </c>
    </row>
    <row r="9" ht="19.5" customHeight="1">
      <c r="A9" s="68"/>
      <c r="B9" s="69">
        <v>5</v>
      </c>
      <c r="C9" t="s" s="70">
        <v>50</v>
      </c>
      <c r="D9" t="s" s="71">
        <v>51</v>
      </c>
      <c r="E9" s="74"/>
      <c r="F9" s="82"/>
      <c r="G9" s="74"/>
      <c r="H9" s="82"/>
      <c r="I9" s="74"/>
      <c r="J9" s="82"/>
      <c r="K9" s="75"/>
      <c r="L9" s="76"/>
      <c r="M9" s="75"/>
      <c r="N9" s="76"/>
      <c r="O9" s="75"/>
      <c r="P9" s="76"/>
      <c r="Q9" s="75"/>
      <c r="R9" s="76"/>
      <c r="S9" s="18"/>
      <c r="T9" s="76"/>
      <c r="U9" s="75"/>
      <c r="V9" s="76"/>
      <c r="W9" s="75"/>
      <c r="X9" s="75"/>
      <c r="Y9" s="76"/>
      <c r="Z9" s="75"/>
      <c r="AA9" s="76"/>
      <c r="AB9" s="77">
        <f>SUM(T9:AA9)</f>
        <v>0</v>
      </c>
      <c r="AC9" s="18"/>
      <c r="AD9" s="78">
        <v>5</v>
      </c>
      <c r="AE9" s="76"/>
      <c r="AF9" s="75"/>
      <c r="AG9" s="18"/>
      <c r="AH9" s="76"/>
      <c r="AI9" s="75"/>
      <c r="AJ9" s="18"/>
      <c r="AK9" s="76"/>
      <c r="AL9" s="75"/>
      <c r="AM9" s="18"/>
      <c r="AN9" s="76"/>
      <c r="AO9" s="75"/>
      <c r="AP9" s="18"/>
      <c r="AQ9" s="78">
        <v>5</v>
      </c>
      <c r="AR9" s="76"/>
      <c r="AS9" s="75"/>
      <c r="AT9" s="18"/>
      <c r="AU9" s="76"/>
      <c r="AV9" s="75"/>
      <c r="AW9" s="18"/>
      <c r="AX9" s="76"/>
      <c r="AY9" s="75"/>
      <c r="AZ9" s="18"/>
      <c r="BA9" s="76"/>
      <c r="BB9" s="75"/>
      <c r="BC9" s="18"/>
      <c r="BD9" s="78">
        <v>5</v>
      </c>
      <c r="BE9" s="76"/>
      <c r="BF9" s="75"/>
      <c r="BG9" s="18"/>
      <c r="BH9" s="76"/>
      <c r="BI9" s="75"/>
      <c r="BJ9" s="18"/>
      <c r="BK9" s="76"/>
      <c r="BL9" s="75"/>
      <c r="BM9" s="18"/>
      <c r="BN9" s="76"/>
      <c r="BO9" s="75"/>
      <c r="BP9" s="18"/>
      <c r="BQ9" s="78">
        <v>5</v>
      </c>
      <c r="BR9" s="76"/>
      <c r="BS9" s="75"/>
      <c r="BT9" s="18"/>
      <c r="BU9" s="76"/>
      <c r="BV9" s="75"/>
      <c r="BW9" s="18"/>
      <c r="BX9" s="76"/>
      <c r="BY9" s="75"/>
      <c r="BZ9" s="18"/>
      <c r="CA9" s="76"/>
      <c r="CB9" s="75"/>
      <c r="CC9" s="18"/>
      <c r="CD9" s="78">
        <v>5</v>
      </c>
      <c r="CE9" s="79">
        <f>(AE9+AH9+AK9+AN9)/4</f>
        <v>0</v>
      </c>
      <c r="CF9" s="79">
        <f>(AR9+AU9+AX9+BA9)/4</f>
        <v>0</v>
      </c>
      <c r="CG9" s="79">
        <f>(BE9+BH9+BK9+BN9)/4</f>
        <v>0</v>
      </c>
      <c r="CH9" s="79">
        <f>(BR9+BU9+BX9+CA9)/4</f>
        <v>0</v>
      </c>
      <c r="CI9" s="18"/>
      <c r="CJ9" s="80">
        <f>SUM(CE9:CH9)/4</f>
        <v>0</v>
      </c>
      <c r="CK9" s="18"/>
      <c r="CL9" s="79">
        <f>CJ9*0.5</f>
        <v>0</v>
      </c>
      <c r="CM9" s="75"/>
      <c r="CN9" s="79">
        <f>CM9*0.5</f>
        <v>0</v>
      </c>
      <c r="CO9" s="81">
        <f>CN9+CL9</f>
        <v>0</v>
      </c>
      <c r="CP9" s="18"/>
      <c r="CQ9" s="79">
        <f>CJ9*0.3</f>
        <v>0</v>
      </c>
      <c r="CR9" s="75"/>
      <c r="CS9" s="79">
        <f>CR9*0.7</f>
        <v>0</v>
      </c>
      <c r="CT9" s="81">
        <f>CS9+CQ9</f>
        <v>0</v>
      </c>
    </row>
    <row r="10" ht="19.5" customHeight="1">
      <c r="A10" s="68"/>
      <c r="B10" s="69">
        <v>6</v>
      </c>
      <c r="C10" t="s" s="70">
        <v>52</v>
      </c>
      <c r="D10" t="s" s="71">
        <v>53</v>
      </c>
      <c r="E10" s="74"/>
      <c r="F10" s="82"/>
      <c r="G10" s="74"/>
      <c r="H10" s="82"/>
      <c r="I10" s="74"/>
      <c r="J10" s="82"/>
      <c r="K10" s="75"/>
      <c r="L10" s="76"/>
      <c r="M10" s="75"/>
      <c r="N10" s="76"/>
      <c r="O10" s="75"/>
      <c r="P10" s="76"/>
      <c r="Q10" s="75"/>
      <c r="R10" s="76"/>
      <c r="S10" s="18"/>
      <c r="T10" s="76"/>
      <c r="U10" s="75"/>
      <c r="V10" s="76"/>
      <c r="W10" s="75"/>
      <c r="X10" s="75"/>
      <c r="Y10" s="76"/>
      <c r="Z10" s="75"/>
      <c r="AA10" s="76"/>
      <c r="AB10" s="77">
        <f>SUM(T10:AA10)</f>
        <v>0</v>
      </c>
      <c r="AC10" s="18"/>
      <c r="AD10" s="78">
        <v>6</v>
      </c>
      <c r="AE10" s="76"/>
      <c r="AF10" s="75"/>
      <c r="AG10" s="18"/>
      <c r="AH10" s="76"/>
      <c r="AI10" s="75"/>
      <c r="AJ10" s="18"/>
      <c r="AK10" s="76"/>
      <c r="AL10" s="75"/>
      <c r="AM10" s="18"/>
      <c r="AN10" s="76"/>
      <c r="AO10" s="75"/>
      <c r="AP10" s="18"/>
      <c r="AQ10" s="78">
        <v>6</v>
      </c>
      <c r="AR10" s="76"/>
      <c r="AS10" s="75"/>
      <c r="AT10" s="18"/>
      <c r="AU10" s="76"/>
      <c r="AV10" s="75"/>
      <c r="AW10" s="18"/>
      <c r="AX10" s="76"/>
      <c r="AY10" s="75"/>
      <c r="AZ10" s="18"/>
      <c r="BA10" s="76"/>
      <c r="BB10" s="75"/>
      <c r="BC10" s="18"/>
      <c r="BD10" s="78">
        <v>6</v>
      </c>
      <c r="BE10" s="76"/>
      <c r="BF10" s="75"/>
      <c r="BG10" s="18"/>
      <c r="BH10" s="76"/>
      <c r="BI10" s="75"/>
      <c r="BJ10" s="18"/>
      <c r="BK10" s="76"/>
      <c r="BL10" s="75"/>
      <c r="BM10" s="18"/>
      <c r="BN10" s="76"/>
      <c r="BO10" s="75"/>
      <c r="BP10" s="18"/>
      <c r="BQ10" s="78">
        <v>6</v>
      </c>
      <c r="BR10" s="76"/>
      <c r="BS10" s="75"/>
      <c r="BT10" s="18"/>
      <c r="BU10" s="76"/>
      <c r="BV10" s="75"/>
      <c r="BW10" s="18"/>
      <c r="BX10" s="76"/>
      <c r="BY10" s="75"/>
      <c r="BZ10" s="18"/>
      <c r="CA10" s="76"/>
      <c r="CB10" s="75"/>
      <c r="CC10" s="18"/>
      <c r="CD10" s="78">
        <v>6</v>
      </c>
      <c r="CE10" s="79">
        <f>(AE10+AH10+AK10+AN10)/4</f>
        <v>0</v>
      </c>
      <c r="CF10" s="79">
        <f>(AR10+AU10+AX10+BA10)/4</f>
        <v>0</v>
      </c>
      <c r="CG10" s="79">
        <f>(BE10+BH10+BK10+BN10)/4</f>
        <v>0</v>
      </c>
      <c r="CH10" s="79">
        <f>(BR10+BU10+BX10+CA10)/4</f>
        <v>0</v>
      </c>
      <c r="CI10" s="18"/>
      <c r="CJ10" s="80">
        <f>SUM(CE10:CH10)/4</f>
        <v>0</v>
      </c>
      <c r="CK10" s="18"/>
      <c r="CL10" s="79">
        <f>CJ10*0.5</f>
        <v>0</v>
      </c>
      <c r="CM10" s="75"/>
      <c r="CN10" s="79">
        <f>CM10*0.5</f>
        <v>0</v>
      </c>
      <c r="CO10" s="81">
        <f>CN10+CL10</f>
        <v>0</v>
      </c>
      <c r="CP10" s="18"/>
      <c r="CQ10" s="79">
        <f>CJ10*0.3</f>
        <v>0</v>
      </c>
      <c r="CR10" s="75"/>
      <c r="CS10" s="79">
        <f>CR10*0.7</f>
        <v>0</v>
      </c>
      <c r="CT10" s="81">
        <f>CS10+CQ10</f>
        <v>0</v>
      </c>
    </row>
    <row r="11" ht="19.5" customHeight="1">
      <c r="A11" s="68"/>
      <c r="B11" s="69">
        <v>7</v>
      </c>
      <c r="C11" t="s" s="70">
        <v>54</v>
      </c>
      <c r="D11" t="s" s="71">
        <v>55</v>
      </c>
      <c r="E11" s="74"/>
      <c r="F11" s="82"/>
      <c r="G11" s="74"/>
      <c r="H11" s="82"/>
      <c r="I11" s="74"/>
      <c r="J11" s="82"/>
      <c r="K11" s="75"/>
      <c r="L11" s="76"/>
      <c r="M11" s="75"/>
      <c r="N11" s="76"/>
      <c r="O11" s="75"/>
      <c r="P11" s="76"/>
      <c r="Q11" s="75"/>
      <c r="R11" s="76"/>
      <c r="S11" s="18"/>
      <c r="T11" s="76"/>
      <c r="U11" s="75"/>
      <c r="V11" s="76"/>
      <c r="W11" s="75"/>
      <c r="X11" s="75"/>
      <c r="Y11" s="76"/>
      <c r="Z11" s="75"/>
      <c r="AA11" s="76"/>
      <c r="AB11" s="77">
        <f>SUM(T11:AA11)</f>
        <v>0</v>
      </c>
      <c r="AC11" s="18"/>
      <c r="AD11" s="78">
        <v>7</v>
      </c>
      <c r="AE11" s="76"/>
      <c r="AF11" s="75"/>
      <c r="AG11" s="18"/>
      <c r="AH11" s="76"/>
      <c r="AI11" s="75"/>
      <c r="AJ11" s="18"/>
      <c r="AK11" s="76"/>
      <c r="AL11" s="75"/>
      <c r="AM11" s="18"/>
      <c r="AN11" s="76"/>
      <c r="AO11" s="75"/>
      <c r="AP11" s="18"/>
      <c r="AQ11" s="78">
        <v>7</v>
      </c>
      <c r="AR11" s="76"/>
      <c r="AS11" s="75"/>
      <c r="AT11" s="18"/>
      <c r="AU11" s="76"/>
      <c r="AV11" s="75"/>
      <c r="AW11" s="18"/>
      <c r="AX11" s="76"/>
      <c r="AY11" s="75"/>
      <c r="AZ11" s="18"/>
      <c r="BA11" s="76"/>
      <c r="BB11" s="75"/>
      <c r="BC11" s="18"/>
      <c r="BD11" s="78">
        <v>7</v>
      </c>
      <c r="BE11" s="76"/>
      <c r="BF11" s="75"/>
      <c r="BG11" s="18"/>
      <c r="BH11" s="76"/>
      <c r="BI11" s="75"/>
      <c r="BJ11" s="18"/>
      <c r="BK11" s="76"/>
      <c r="BL11" s="75"/>
      <c r="BM11" s="18"/>
      <c r="BN11" s="76"/>
      <c r="BO11" s="75"/>
      <c r="BP11" s="18"/>
      <c r="BQ11" s="78">
        <v>7</v>
      </c>
      <c r="BR11" s="76"/>
      <c r="BS11" s="75"/>
      <c r="BT11" s="18"/>
      <c r="BU11" s="76"/>
      <c r="BV11" s="75"/>
      <c r="BW11" s="18"/>
      <c r="BX11" s="76"/>
      <c r="BY11" s="75"/>
      <c r="BZ11" s="18"/>
      <c r="CA11" s="76"/>
      <c r="CB11" s="75"/>
      <c r="CC11" s="18"/>
      <c r="CD11" s="78">
        <v>7</v>
      </c>
      <c r="CE11" s="79">
        <f>(AE11+AH11+AK11+AN11)/4</f>
        <v>0</v>
      </c>
      <c r="CF11" s="79">
        <f>(AR11+AU11+AX11+BA11)/4</f>
        <v>0</v>
      </c>
      <c r="CG11" s="79">
        <f>(BE11+BH11+BK11+BN11)/4</f>
        <v>0</v>
      </c>
      <c r="CH11" s="79">
        <f>(BR11+BU11+BX11+CA11)/4</f>
        <v>0</v>
      </c>
      <c r="CI11" s="18"/>
      <c r="CJ11" s="80">
        <f>SUM(CE11:CH11)/4</f>
        <v>0</v>
      </c>
      <c r="CK11" s="18"/>
      <c r="CL11" s="79">
        <f>CJ11*0.5</f>
        <v>0</v>
      </c>
      <c r="CM11" s="75"/>
      <c r="CN11" s="79">
        <f>CM11*0.5</f>
        <v>0</v>
      </c>
      <c r="CO11" s="81">
        <f>CN11+CL11</f>
        <v>0</v>
      </c>
      <c r="CP11" s="18"/>
      <c r="CQ11" s="79">
        <f>CJ11*0.3</f>
        <v>0</v>
      </c>
      <c r="CR11" s="75"/>
      <c r="CS11" s="79">
        <f>CR11*0.7</f>
        <v>0</v>
      </c>
      <c r="CT11" s="81">
        <f>CS11+CQ11</f>
        <v>0</v>
      </c>
    </row>
    <row r="12" ht="19.5" customHeight="1">
      <c r="A12" s="68"/>
      <c r="B12" s="69">
        <v>8</v>
      </c>
      <c r="C12" t="s" s="70">
        <v>56</v>
      </c>
      <c r="D12" t="s" s="71">
        <v>57</v>
      </c>
      <c r="E12" s="74"/>
      <c r="F12" s="82"/>
      <c r="G12" s="74"/>
      <c r="H12" s="82"/>
      <c r="I12" s="74"/>
      <c r="J12" s="82"/>
      <c r="K12" s="75"/>
      <c r="L12" s="76"/>
      <c r="M12" s="75"/>
      <c r="N12" s="76"/>
      <c r="O12" s="75"/>
      <c r="P12" s="76"/>
      <c r="Q12" s="75"/>
      <c r="R12" s="76"/>
      <c r="S12" s="18"/>
      <c r="T12" s="76"/>
      <c r="U12" s="75"/>
      <c r="V12" s="76"/>
      <c r="W12" s="75"/>
      <c r="X12" s="75"/>
      <c r="Y12" s="76"/>
      <c r="Z12" s="75"/>
      <c r="AA12" s="76"/>
      <c r="AB12" s="77">
        <f>SUM(T12:AA12)</f>
        <v>0</v>
      </c>
      <c r="AC12" s="18"/>
      <c r="AD12" s="78">
        <v>8</v>
      </c>
      <c r="AE12" s="76"/>
      <c r="AF12" s="75"/>
      <c r="AG12" s="18"/>
      <c r="AH12" s="76"/>
      <c r="AI12" s="75"/>
      <c r="AJ12" s="18"/>
      <c r="AK12" s="76"/>
      <c r="AL12" s="75"/>
      <c r="AM12" s="18"/>
      <c r="AN12" s="76"/>
      <c r="AO12" s="75"/>
      <c r="AP12" s="18"/>
      <c r="AQ12" s="78">
        <v>8</v>
      </c>
      <c r="AR12" s="76"/>
      <c r="AS12" s="75"/>
      <c r="AT12" s="18"/>
      <c r="AU12" s="76"/>
      <c r="AV12" s="75"/>
      <c r="AW12" s="18"/>
      <c r="AX12" s="76"/>
      <c r="AY12" s="75"/>
      <c r="AZ12" s="18"/>
      <c r="BA12" s="76"/>
      <c r="BB12" s="75"/>
      <c r="BC12" s="18"/>
      <c r="BD12" s="78">
        <v>8</v>
      </c>
      <c r="BE12" s="76"/>
      <c r="BF12" s="75"/>
      <c r="BG12" s="18"/>
      <c r="BH12" s="76"/>
      <c r="BI12" s="75"/>
      <c r="BJ12" s="18"/>
      <c r="BK12" s="76"/>
      <c r="BL12" s="75"/>
      <c r="BM12" s="18"/>
      <c r="BN12" s="76"/>
      <c r="BO12" s="75"/>
      <c r="BP12" s="18"/>
      <c r="BQ12" s="78">
        <v>8</v>
      </c>
      <c r="BR12" s="76"/>
      <c r="BS12" s="75"/>
      <c r="BT12" s="18"/>
      <c r="BU12" s="76"/>
      <c r="BV12" s="75"/>
      <c r="BW12" s="18"/>
      <c r="BX12" s="76"/>
      <c r="BY12" s="75"/>
      <c r="BZ12" s="18"/>
      <c r="CA12" s="76"/>
      <c r="CB12" s="75"/>
      <c r="CC12" s="18"/>
      <c r="CD12" s="78">
        <v>8</v>
      </c>
      <c r="CE12" s="79">
        <f>(AE12+AH12+AK12+AN12)/4</f>
        <v>0</v>
      </c>
      <c r="CF12" s="79">
        <f>(AR12+AU12+AX12+BA12)/4</f>
        <v>0</v>
      </c>
      <c r="CG12" s="79">
        <f>(BE12+BH12+BK12+BN12)/4</f>
        <v>0</v>
      </c>
      <c r="CH12" s="79">
        <f>(BR12+BU12+BX12+CA12)/4</f>
        <v>0</v>
      </c>
      <c r="CI12" s="18"/>
      <c r="CJ12" s="80">
        <f>SUM(CE12:CH12)/4</f>
        <v>0</v>
      </c>
      <c r="CK12" s="18"/>
      <c r="CL12" s="79">
        <f>CJ12*0.5</f>
        <v>0</v>
      </c>
      <c r="CM12" s="75"/>
      <c r="CN12" s="79">
        <f>CM12*0.5</f>
        <v>0</v>
      </c>
      <c r="CO12" s="81">
        <f>CN12+CL12</f>
        <v>0</v>
      </c>
      <c r="CP12" s="18"/>
      <c r="CQ12" s="79">
        <f>CJ12*0.3</f>
        <v>0</v>
      </c>
      <c r="CR12" s="75"/>
      <c r="CS12" s="79">
        <f>CR12*0.7</f>
        <v>0</v>
      </c>
      <c r="CT12" s="81">
        <f>CS12+CQ12</f>
        <v>0</v>
      </c>
    </row>
    <row r="13" ht="19.5" customHeight="1">
      <c r="A13" s="68"/>
      <c r="B13" s="69">
        <v>9</v>
      </c>
      <c r="C13" t="s" s="70">
        <v>58</v>
      </c>
      <c r="D13" t="s" s="71">
        <v>59</v>
      </c>
      <c r="E13" s="74"/>
      <c r="F13" s="82"/>
      <c r="G13" s="74"/>
      <c r="H13" s="82"/>
      <c r="I13" s="74"/>
      <c r="J13" s="82"/>
      <c r="K13" s="75"/>
      <c r="L13" s="76"/>
      <c r="M13" s="75"/>
      <c r="N13" s="76"/>
      <c r="O13" s="75"/>
      <c r="P13" s="76"/>
      <c r="Q13" s="75"/>
      <c r="R13" s="76"/>
      <c r="S13" s="18"/>
      <c r="T13" s="76"/>
      <c r="U13" s="75"/>
      <c r="V13" s="76"/>
      <c r="W13" s="75"/>
      <c r="X13" s="75"/>
      <c r="Y13" s="76"/>
      <c r="Z13" s="75"/>
      <c r="AA13" s="76"/>
      <c r="AB13" s="77">
        <f>SUM(T13:AA13)</f>
        <v>0</v>
      </c>
      <c r="AC13" s="18"/>
      <c r="AD13" s="78">
        <v>9</v>
      </c>
      <c r="AE13" s="76"/>
      <c r="AF13" s="75"/>
      <c r="AG13" s="18"/>
      <c r="AH13" s="76"/>
      <c r="AI13" s="75"/>
      <c r="AJ13" s="18"/>
      <c r="AK13" s="76"/>
      <c r="AL13" s="75"/>
      <c r="AM13" s="18"/>
      <c r="AN13" s="76"/>
      <c r="AO13" s="75"/>
      <c r="AP13" s="18"/>
      <c r="AQ13" s="78">
        <v>9</v>
      </c>
      <c r="AR13" s="76"/>
      <c r="AS13" s="75"/>
      <c r="AT13" s="18"/>
      <c r="AU13" s="76"/>
      <c r="AV13" s="75"/>
      <c r="AW13" s="18"/>
      <c r="AX13" s="76"/>
      <c r="AY13" s="75"/>
      <c r="AZ13" s="18"/>
      <c r="BA13" s="76"/>
      <c r="BB13" s="75"/>
      <c r="BC13" s="18"/>
      <c r="BD13" s="78">
        <v>9</v>
      </c>
      <c r="BE13" s="76"/>
      <c r="BF13" s="75"/>
      <c r="BG13" s="18"/>
      <c r="BH13" s="76"/>
      <c r="BI13" s="75"/>
      <c r="BJ13" s="18"/>
      <c r="BK13" s="76"/>
      <c r="BL13" s="75"/>
      <c r="BM13" s="18"/>
      <c r="BN13" s="76"/>
      <c r="BO13" s="75"/>
      <c r="BP13" s="18"/>
      <c r="BQ13" s="78">
        <v>9</v>
      </c>
      <c r="BR13" s="76"/>
      <c r="BS13" s="75"/>
      <c r="BT13" s="18"/>
      <c r="BU13" s="76"/>
      <c r="BV13" s="75"/>
      <c r="BW13" s="18"/>
      <c r="BX13" s="76"/>
      <c r="BY13" s="75"/>
      <c r="BZ13" s="18"/>
      <c r="CA13" s="76"/>
      <c r="CB13" s="75"/>
      <c r="CC13" s="18"/>
      <c r="CD13" s="78">
        <v>9</v>
      </c>
      <c r="CE13" s="79">
        <f>(AE13+AH13+AK13+AN13)/4</f>
        <v>0</v>
      </c>
      <c r="CF13" s="79">
        <f>(AR13+AU13+AX13+BA13)/4</f>
        <v>0</v>
      </c>
      <c r="CG13" s="79">
        <f>(BE13+BH13+BK13+BN13)/4</f>
        <v>0</v>
      </c>
      <c r="CH13" s="79">
        <f>(BR13+BU13+BX13+CA13)/4</f>
        <v>0</v>
      </c>
      <c r="CI13" s="18"/>
      <c r="CJ13" s="80">
        <f>SUM(CE13:CH13)/4</f>
        <v>0</v>
      </c>
      <c r="CK13" s="18"/>
      <c r="CL13" s="79">
        <f>CJ13*0.5</f>
        <v>0</v>
      </c>
      <c r="CM13" s="75"/>
      <c r="CN13" s="79">
        <f>CM13*0.5</f>
        <v>0</v>
      </c>
      <c r="CO13" s="81">
        <f>CN13+CL13</f>
        <v>0</v>
      </c>
      <c r="CP13" s="18"/>
      <c r="CQ13" s="79">
        <f>CJ13*0.3</f>
        <v>0</v>
      </c>
      <c r="CR13" s="75"/>
      <c r="CS13" s="79">
        <f>CR13*0.7</f>
        <v>0</v>
      </c>
      <c r="CT13" s="81">
        <f>CS13+CQ13</f>
        <v>0</v>
      </c>
    </row>
    <row r="14" ht="19.5" customHeight="1">
      <c r="A14" s="68"/>
      <c r="B14" s="69">
        <v>10</v>
      </c>
      <c r="C14" t="s" s="70">
        <v>60</v>
      </c>
      <c r="D14" t="s" s="71">
        <v>61</v>
      </c>
      <c r="E14" s="74"/>
      <c r="F14" s="82"/>
      <c r="G14" s="74"/>
      <c r="H14" s="82"/>
      <c r="I14" s="74"/>
      <c r="J14" s="82"/>
      <c r="K14" s="75"/>
      <c r="L14" s="76"/>
      <c r="M14" s="75"/>
      <c r="N14" s="76"/>
      <c r="O14" s="75"/>
      <c r="P14" s="76"/>
      <c r="Q14" s="75"/>
      <c r="R14" s="76"/>
      <c r="S14" s="18"/>
      <c r="T14" s="76"/>
      <c r="U14" s="75"/>
      <c r="V14" s="76"/>
      <c r="W14" s="75"/>
      <c r="X14" s="75"/>
      <c r="Y14" s="76"/>
      <c r="Z14" s="75"/>
      <c r="AA14" s="76"/>
      <c r="AB14" s="77">
        <f>SUM(T14:AA14)</f>
        <v>0</v>
      </c>
      <c r="AC14" s="18"/>
      <c r="AD14" s="78">
        <v>10</v>
      </c>
      <c r="AE14" s="76"/>
      <c r="AF14" s="75"/>
      <c r="AG14" s="18"/>
      <c r="AH14" s="76"/>
      <c r="AI14" s="75"/>
      <c r="AJ14" s="18"/>
      <c r="AK14" s="76"/>
      <c r="AL14" s="75"/>
      <c r="AM14" s="18"/>
      <c r="AN14" s="76"/>
      <c r="AO14" s="75"/>
      <c r="AP14" s="18"/>
      <c r="AQ14" s="78">
        <v>10</v>
      </c>
      <c r="AR14" s="76"/>
      <c r="AS14" s="75"/>
      <c r="AT14" s="18"/>
      <c r="AU14" s="76"/>
      <c r="AV14" s="75"/>
      <c r="AW14" s="18"/>
      <c r="AX14" s="76"/>
      <c r="AY14" s="75"/>
      <c r="AZ14" s="18"/>
      <c r="BA14" s="76"/>
      <c r="BB14" s="75"/>
      <c r="BC14" s="18"/>
      <c r="BD14" s="78">
        <v>10</v>
      </c>
      <c r="BE14" s="76"/>
      <c r="BF14" s="75"/>
      <c r="BG14" s="18"/>
      <c r="BH14" s="76"/>
      <c r="BI14" s="75"/>
      <c r="BJ14" s="18"/>
      <c r="BK14" s="76"/>
      <c r="BL14" s="75"/>
      <c r="BM14" s="18"/>
      <c r="BN14" s="76"/>
      <c r="BO14" s="75"/>
      <c r="BP14" s="18"/>
      <c r="BQ14" s="78">
        <v>10</v>
      </c>
      <c r="BR14" s="76"/>
      <c r="BS14" s="75"/>
      <c r="BT14" s="18"/>
      <c r="BU14" s="76"/>
      <c r="BV14" s="75"/>
      <c r="BW14" s="18"/>
      <c r="BX14" s="76"/>
      <c r="BY14" s="75"/>
      <c r="BZ14" s="18"/>
      <c r="CA14" s="76"/>
      <c r="CB14" s="75"/>
      <c r="CC14" s="18"/>
      <c r="CD14" s="78">
        <v>10</v>
      </c>
      <c r="CE14" s="79">
        <f>(AE14+AH14+AK14+AN14)/4</f>
        <v>0</v>
      </c>
      <c r="CF14" s="79">
        <f>(AR14+AU14+AX14+BA14)/4</f>
        <v>0</v>
      </c>
      <c r="CG14" s="79">
        <f>(BE14+BH14+BK14+BN14)/4</f>
        <v>0</v>
      </c>
      <c r="CH14" s="79">
        <f>(BR14+BU14+BX14+CA14)/4</f>
        <v>0</v>
      </c>
      <c r="CI14" s="18"/>
      <c r="CJ14" s="80">
        <f>SUM(CE14:CH14)/4</f>
        <v>0</v>
      </c>
      <c r="CK14" s="18"/>
      <c r="CL14" s="79">
        <f>CJ14*0.5</f>
        <v>0</v>
      </c>
      <c r="CM14" s="75"/>
      <c r="CN14" s="79">
        <f>CM14*0.5</f>
        <v>0</v>
      </c>
      <c r="CO14" s="81">
        <f>CN14+CL14</f>
        <v>0</v>
      </c>
      <c r="CP14" s="18"/>
      <c r="CQ14" s="79">
        <f>CJ14*0.3</f>
        <v>0</v>
      </c>
      <c r="CR14" s="75"/>
      <c r="CS14" s="79">
        <f>CR14*0.7</f>
        <v>0</v>
      </c>
      <c r="CT14" s="81">
        <f>CS14+CQ14</f>
        <v>0</v>
      </c>
    </row>
    <row r="15" ht="19.5" customHeight="1">
      <c r="A15" s="68"/>
      <c r="B15" s="69">
        <v>11</v>
      </c>
      <c r="C15" t="s" s="70">
        <v>62</v>
      </c>
      <c r="D15" t="s" s="71">
        <v>63</v>
      </c>
      <c r="E15" s="74"/>
      <c r="F15" s="82"/>
      <c r="G15" s="74"/>
      <c r="H15" s="82"/>
      <c r="I15" s="74"/>
      <c r="J15" s="82"/>
      <c r="K15" s="75"/>
      <c r="L15" s="76"/>
      <c r="M15" s="75"/>
      <c r="N15" s="76"/>
      <c r="O15" s="75"/>
      <c r="P15" s="76"/>
      <c r="Q15" s="75"/>
      <c r="R15" s="76"/>
      <c r="S15" s="18"/>
      <c r="T15" s="76"/>
      <c r="U15" s="75"/>
      <c r="V15" s="76"/>
      <c r="W15" s="75"/>
      <c r="X15" s="75"/>
      <c r="Y15" s="76"/>
      <c r="Z15" s="75"/>
      <c r="AA15" s="76"/>
      <c r="AB15" s="77">
        <f>SUM(T15:AA15)</f>
        <v>0</v>
      </c>
      <c r="AC15" s="18"/>
      <c r="AD15" s="78">
        <v>11</v>
      </c>
      <c r="AE15" s="76"/>
      <c r="AF15" s="75"/>
      <c r="AG15" s="18"/>
      <c r="AH15" s="76"/>
      <c r="AI15" s="75"/>
      <c r="AJ15" s="18"/>
      <c r="AK15" s="76"/>
      <c r="AL15" s="75"/>
      <c r="AM15" s="18"/>
      <c r="AN15" s="76"/>
      <c r="AO15" s="75"/>
      <c r="AP15" s="18"/>
      <c r="AQ15" s="78">
        <v>11</v>
      </c>
      <c r="AR15" s="76"/>
      <c r="AS15" s="75"/>
      <c r="AT15" s="18"/>
      <c r="AU15" s="76"/>
      <c r="AV15" s="75"/>
      <c r="AW15" s="18"/>
      <c r="AX15" s="76"/>
      <c r="AY15" s="75"/>
      <c r="AZ15" s="18"/>
      <c r="BA15" s="76"/>
      <c r="BB15" s="75"/>
      <c r="BC15" s="18"/>
      <c r="BD15" s="78">
        <v>11</v>
      </c>
      <c r="BE15" s="76"/>
      <c r="BF15" s="75"/>
      <c r="BG15" s="18"/>
      <c r="BH15" s="76"/>
      <c r="BI15" s="75"/>
      <c r="BJ15" s="18"/>
      <c r="BK15" s="76"/>
      <c r="BL15" s="75"/>
      <c r="BM15" s="18"/>
      <c r="BN15" s="76"/>
      <c r="BO15" s="75"/>
      <c r="BP15" s="18"/>
      <c r="BQ15" s="78">
        <v>11</v>
      </c>
      <c r="BR15" s="76"/>
      <c r="BS15" s="75"/>
      <c r="BT15" s="18"/>
      <c r="BU15" s="76"/>
      <c r="BV15" s="75"/>
      <c r="BW15" s="18"/>
      <c r="BX15" s="76"/>
      <c r="BY15" s="75"/>
      <c r="BZ15" s="18"/>
      <c r="CA15" s="76"/>
      <c r="CB15" s="75"/>
      <c r="CC15" s="18"/>
      <c r="CD15" s="78">
        <v>11</v>
      </c>
      <c r="CE15" s="79">
        <f>(AE15+AH15+AK15+AN15)/4</f>
        <v>0</v>
      </c>
      <c r="CF15" s="79">
        <f>(AR15+AU15+AX15+BA15)/4</f>
        <v>0</v>
      </c>
      <c r="CG15" s="79">
        <f>(BE15+BH15+BK15+BN15)/4</f>
        <v>0</v>
      </c>
      <c r="CH15" s="79">
        <f>(BR15+BU15+BX15+CA15)/4</f>
        <v>0</v>
      </c>
      <c r="CI15" s="18"/>
      <c r="CJ15" s="80">
        <f>SUM(CE15:CH15)/4</f>
        <v>0</v>
      </c>
      <c r="CK15" s="18"/>
      <c r="CL15" s="79">
        <f>CJ15*0.5</f>
        <v>0</v>
      </c>
      <c r="CM15" s="75"/>
      <c r="CN15" s="79">
        <f>CM15*0.5</f>
        <v>0</v>
      </c>
      <c r="CO15" s="81">
        <f>CN15+CL15</f>
        <v>0</v>
      </c>
      <c r="CP15" s="18"/>
      <c r="CQ15" s="79">
        <f>CJ15*0.3</f>
        <v>0</v>
      </c>
      <c r="CR15" s="75"/>
      <c r="CS15" s="79">
        <f>CR15*0.7</f>
        <v>0</v>
      </c>
      <c r="CT15" s="81">
        <f>CS15+CQ15</f>
        <v>0</v>
      </c>
    </row>
    <row r="16" ht="19.5" customHeight="1">
      <c r="A16" s="68"/>
      <c r="B16" s="69">
        <v>12</v>
      </c>
      <c r="C16" t="s" s="70">
        <v>64</v>
      </c>
      <c r="D16" t="s" s="71">
        <v>65</v>
      </c>
      <c r="E16" s="74"/>
      <c r="F16" s="82"/>
      <c r="G16" s="74"/>
      <c r="H16" s="82"/>
      <c r="I16" s="74"/>
      <c r="J16" s="82"/>
      <c r="K16" s="75"/>
      <c r="L16" s="76"/>
      <c r="M16" s="75"/>
      <c r="N16" s="76"/>
      <c r="O16" s="75"/>
      <c r="P16" s="76"/>
      <c r="Q16" s="75"/>
      <c r="R16" s="76"/>
      <c r="S16" s="18"/>
      <c r="T16" s="76"/>
      <c r="U16" s="75"/>
      <c r="V16" s="76"/>
      <c r="W16" s="75"/>
      <c r="X16" s="75"/>
      <c r="Y16" s="76"/>
      <c r="Z16" s="75"/>
      <c r="AA16" s="76"/>
      <c r="AB16" s="77">
        <f>SUM(T16:AA16)</f>
        <v>0</v>
      </c>
      <c r="AC16" s="18"/>
      <c r="AD16" s="78">
        <v>12</v>
      </c>
      <c r="AE16" s="76"/>
      <c r="AF16" s="75"/>
      <c r="AG16" s="18"/>
      <c r="AH16" s="76"/>
      <c r="AI16" s="75"/>
      <c r="AJ16" s="18"/>
      <c r="AK16" s="76"/>
      <c r="AL16" s="75"/>
      <c r="AM16" s="18"/>
      <c r="AN16" s="76"/>
      <c r="AO16" s="75"/>
      <c r="AP16" s="18"/>
      <c r="AQ16" s="78">
        <v>12</v>
      </c>
      <c r="AR16" s="76"/>
      <c r="AS16" s="75"/>
      <c r="AT16" s="18"/>
      <c r="AU16" s="76"/>
      <c r="AV16" s="75"/>
      <c r="AW16" s="18"/>
      <c r="AX16" s="76"/>
      <c r="AY16" s="75"/>
      <c r="AZ16" s="18"/>
      <c r="BA16" s="76"/>
      <c r="BB16" s="75"/>
      <c r="BC16" s="18"/>
      <c r="BD16" s="78">
        <v>12</v>
      </c>
      <c r="BE16" s="76"/>
      <c r="BF16" s="75"/>
      <c r="BG16" s="18"/>
      <c r="BH16" s="76"/>
      <c r="BI16" s="75"/>
      <c r="BJ16" s="18"/>
      <c r="BK16" s="76"/>
      <c r="BL16" s="75"/>
      <c r="BM16" s="18"/>
      <c r="BN16" s="76"/>
      <c r="BO16" s="75"/>
      <c r="BP16" s="18"/>
      <c r="BQ16" s="78">
        <v>12</v>
      </c>
      <c r="BR16" s="76"/>
      <c r="BS16" s="75"/>
      <c r="BT16" s="18"/>
      <c r="BU16" s="76"/>
      <c r="BV16" s="75"/>
      <c r="BW16" s="18"/>
      <c r="BX16" s="76"/>
      <c r="BY16" s="75"/>
      <c r="BZ16" s="18"/>
      <c r="CA16" s="76"/>
      <c r="CB16" s="75"/>
      <c r="CC16" s="18"/>
      <c r="CD16" s="78">
        <v>12</v>
      </c>
      <c r="CE16" s="79">
        <f>(AE16+AH16+AK16+AN16)/4</f>
        <v>0</v>
      </c>
      <c r="CF16" s="79">
        <f>(AR16+AU16+AX16+BA16)/4</f>
        <v>0</v>
      </c>
      <c r="CG16" s="79">
        <f>(BE16+BH16+BK16+BN16)/4</f>
        <v>0</v>
      </c>
      <c r="CH16" s="79">
        <f>(BR16+BU16+BX16+CA16)/4</f>
        <v>0</v>
      </c>
      <c r="CI16" s="18"/>
      <c r="CJ16" s="80">
        <f>SUM(CE16:CH16)/4</f>
        <v>0</v>
      </c>
      <c r="CK16" s="18"/>
      <c r="CL16" s="79">
        <f>CJ16*0.5</f>
        <v>0</v>
      </c>
      <c r="CM16" s="75"/>
      <c r="CN16" s="79">
        <f>CM16*0.5</f>
        <v>0</v>
      </c>
      <c r="CO16" s="81">
        <f>CN16+CL16</f>
        <v>0</v>
      </c>
      <c r="CP16" s="18"/>
      <c r="CQ16" s="79">
        <f>CJ16*0.3</f>
        <v>0</v>
      </c>
      <c r="CR16" s="75"/>
      <c r="CS16" s="79">
        <f>CR16*0.7</f>
        <v>0</v>
      </c>
      <c r="CT16" s="81">
        <f>CS16+CQ16</f>
        <v>0</v>
      </c>
    </row>
    <row r="17" ht="19.5" customHeight="1">
      <c r="A17" s="68"/>
      <c r="B17" s="69">
        <v>13</v>
      </c>
      <c r="C17" t="s" s="70">
        <v>66</v>
      </c>
      <c r="D17" t="s" s="71">
        <v>67</v>
      </c>
      <c r="E17" s="74"/>
      <c r="F17" s="82"/>
      <c r="G17" s="74"/>
      <c r="H17" s="82"/>
      <c r="I17" s="74"/>
      <c r="J17" s="82"/>
      <c r="K17" s="75"/>
      <c r="L17" s="76"/>
      <c r="M17" s="75"/>
      <c r="N17" s="76"/>
      <c r="O17" s="75"/>
      <c r="P17" s="76"/>
      <c r="Q17" s="75"/>
      <c r="R17" s="76"/>
      <c r="S17" s="18"/>
      <c r="T17" s="76"/>
      <c r="U17" s="75"/>
      <c r="V17" s="76"/>
      <c r="W17" s="75"/>
      <c r="X17" s="75"/>
      <c r="Y17" s="76"/>
      <c r="Z17" s="75"/>
      <c r="AA17" s="76"/>
      <c r="AB17" s="77">
        <f>SUM(T17:AA17)</f>
        <v>0</v>
      </c>
      <c r="AC17" s="18"/>
      <c r="AD17" s="78">
        <v>13</v>
      </c>
      <c r="AE17" s="76"/>
      <c r="AF17" s="75"/>
      <c r="AG17" s="18"/>
      <c r="AH17" s="76"/>
      <c r="AI17" s="75"/>
      <c r="AJ17" s="18"/>
      <c r="AK17" s="76"/>
      <c r="AL17" s="75"/>
      <c r="AM17" s="18"/>
      <c r="AN17" s="76"/>
      <c r="AO17" s="75"/>
      <c r="AP17" s="18"/>
      <c r="AQ17" s="78">
        <v>13</v>
      </c>
      <c r="AR17" s="76"/>
      <c r="AS17" s="75"/>
      <c r="AT17" s="18"/>
      <c r="AU17" s="76"/>
      <c r="AV17" s="75"/>
      <c r="AW17" s="18"/>
      <c r="AX17" s="76"/>
      <c r="AY17" s="75"/>
      <c r="AZ17" s="18"/>
      <c r="BA17" s="76"/>
      <c r="BB17" s="75"/>
      <c r="BC17" s="18"/>
      <c r="BD17" s="78">
        <v>13</v>
      </c>
      <c r="BE17" s="76"/>
      <c r="BF17" s="75"/>
      <c r="BG17" s="18"/>
      <c r="BH17" s="76"/>
      <c r="BI17" s="75"/>
      <c r="BJ17" s="18"/>
      <c r="BK17" s="76"/>
      <c r="BL17" s="75"/>
      <c r="BM17" s="18"/>
      <c r="BN17" s="76"/>
      <c r="BO17" s="75"/>
      <c r="BP17" s="18"/>
      <c r="BQ17" s="78">
        <v>13</v>
      </c>
      <c r="BR17" s="76"/>
      <c r="BS17" s="75"/>
      <c r="BT17" s="18"/>
      <c r="BU17" s="76"/>
      <c r="BV17" s="75"/>
      <c r="BW17" s="18"/>
      <c r="BX17" s="76"/>
      <c r="BY17" s="75"/>
      <c r="BZ17" s="18"/>
      <c r="CA17" s="76"/>
      <c r="CB17" s="75"/>
      <c r="CC17" s="18"/>
      <c r="CD17" s="78">
        <v>13</v>
      </c>
      <c r="CE17" s="79">
        <f>(AE17+AH17+AK17+AN17)/4</f>
        <v>0</v>
      </c>
      <c r="CF17" s="79">
        <f>(AR17+AU17+AX17+BA17)/4</f>
        <v>0</v>
      </c>
      <c r="CG17" s="79">
        <f>(BE17+BH17+BK17+BN17)/4</f>
        <v>0</v>
      </c>
      <c r="CH17" s="79">
        <f>(BR17+BU17+BX17+CA17)/4</f>
        <v>0</v>
      </c>
      <c r="CI17" s="18"/>
      <c r="CJ17" s="80">
        <f>SUM(CE17:CH17)/4</f>
        <v>0</v>
      </c>
      <c r="CK17" s="18"/>
      <c r="CL17" s="79">
        <f>CJ17*0.5</f>
        <v>0</v>
      </c>
      <c r="CM17" s="75"/>
      <c r="CN17" s="79">
        <f>CM17*0.5</f>
        <v>0</v>
      </c>
      <c r="CO17" s="81">
        <f>CN17+CL17</f>
        <v>0</v>
      </c>
      <c r="CP17" s="18"/>
      <c r="CQ17" s="79">
        <f>CJ17*0.3</f>
        <v>0</v>
      </c>
      <c r="CR17" s="75"/>
      <c r="CS17" s="79">
        <f>CR17*0.7</f>
        <v>0</v>
      </c>
      <c r="CT17" s="81">
        <f>CS17+CQ17</f>
        <v>0</v>
      </c>
    </row>
    <row r="18" ht="19.5" customHeight="1">
      <c r="A18" s="68"/>
      <c r="B18" s="69">
        <v>14</v>
      </c>
      <c r="C18" t="s" s="70">
        <v>68</v>
      </c>
      <c r="D18" t="s" s="71">
        <v>69</v>
      </c>
      <c r="E18" s="74"/>
      <c r="F18" s="82"/>
      <c r="G18" s="74"/>
      <c r="H18" s="82"/>
      <c r="I18" s="74"/>
      <c r="J18" s="82"/>
      <c r="K18" s="75"/>
      <c r="L18" s="76"/>
      <c r="M18" s="75"/>
      <c r="N18" s="76"/>
      <c r="O18" s="75"/>
      <c r="P18" s="76"/>
      <c r="Q18" s="75"/>
      <c r="R18" s="76"/>
      <c r="S18" s="18"/>
      <c r="T18" s="76"/>
      <c r="U18" s="75"/>
      <c r="V18" s="76"/>
      <c r="W18" s="75"/>
      <c r="X18" s="75"/>
      <c r="Y18" s="76"/>
      <c r="Z18" s="75"/>
      <c r="AA18" s="76"/>
      <c r="AB18" s="77">
        <f>SUM(T18:AA18)</f>
        <v>0</v>
      </c>
      <c r="AC18" s="18"/>
      <c r="AD18" s="78">
        <v>14</v>
      </c>
      <c r="AE18" s="76"/>
      <c r="AF18" s="75"/>
      <c r="AG18" s="18"/>
      <c r="AH18" s="76"/>
      <c r="AI18" s="75"/>
      <c r="AJ18" s="18"/>
      <c r="AK18" s="76"/>
      <c r="AL18" s="75"/>
      <c r="AM18" s="18"/>
      <c r="AN18" s="76"/>
      <c r="AO18" s="75"/>
      <c r="AP18" s="18"/>
      <c r="AQ18" s="78">
        <v>14</v>
      </c>
      <c r="AR18" s="76"/>
      <c r="AS18" s="75"/>
      <c r="AT18" s="18"/>
      <c r="AU18" s="76"/>
      <c r="AV18" s="75"/>
      <c r="AW18" s="18"/>
      <c r="AX18" s="76"/>
      <c r="AY18" s="75"/>
      <c r="AZ18" s="18"/>
      <c r="BA18" s="76"/>
      <c r="BB18" s="75"/>
      <c r="BC18" s="18"/>
      <c r="BD18" s="78">
        <v>14</v>
      </c>
      <c r="BE18" s="76"/>
      <c r="BF18" s="75"/>
      <c r="BG18" s="18"/>
      <c r="BH18" s="76"/>
      <c r="BI18" s="75"/>
      <c r="BJ18" s="18"/>
      <c r="BK18" s="76"/>
      <c r="BL18" s="75"/>
      <c r="BM18" s="18"/>
      <c r="BN18" s="76"/>
      <c r="BO18" s="75"/>
      <c r="BP18" s="18"/>
      <c r="BQ18" s="78">
        <v>14</v>
      </c>
      <c r="BR18" s="76"/>
      <c r="BS18" s="75"/>
      <c r="BT18" s="18"/>
      <c r="BU18" s="76"/>
      <c r="BV18" s="75"/>
      <c r="BW18" s="18"/>
      <c r="BX18" s="76"/>
      <c r="BY18" s="75"/>
      <c r="BZ18" s="18"/>
      <c r="CA18" s="76"/>
      <c r="CB18" s="75"/>
      <c r="CC18" s="18"/>
      <c r="CD18" s="78">
        <v>14</v>
      </c>
      <c r="CE18" s="79">
        <f>(AE18+AH18+AK18+AN18)/4</f>
        <v>0</v>
      </c>
      <c r="CF18" s="79">
        <f>(AR18+AU18+AX18+BA18)/4</f>
        <v>0</v>
      </c>
      <c r="CG18" s="79">
        <f>(BE18+BH18+BK18+BN18)/4</f>
        <v>0</v>
      </c>
      <c r="CH18" s="79">
        <f>(BR18+BU18+BX18+CA18)/4</f>
        <v>0</v>
      </c>
      <c r="CI18" s="18"/>
      <c r="CJ18" s="80">
        <f>SUM(CE18:CH18)/4</f>
        <v>0</v>
      </c>
      <c r="CK18" s="18"/>
      <c r="CL18" s="79">
        <f>CJ18*0.5</f>
        <v>0</v>
      </c>
      <c r="CM18" s="75"/>
      <c r="CN18" s="79">
        <f>CM18*0.5</f>
        <v>0</v>
      </c>
      <c r="CO18" s="81">
        <f>CN18+CL18</f>
        <v>0</v>
      </c>
      <c r="CP18" s="18"/>
      <c r="CQ18" s="79">
        <f>CJ18*0.3</f>
        <v>0</v>
      </c>
      <c r="CR18" s="75"/>
      <c r="CS18" s="79">
        <f>CR18*0.7</f>
        <v>0</v>
      </c>
      <c r="CT18" s="81">
        <f>CS18+CQ18</f>
        <v>0</v>
      </c>
    </row>
    <row r="19" ht="19.5" customHeight="1">
      <c r="A19" s="68"/>
      <c r="B19" s="69">
        <v>15</v>
      </c>
      <c r="C19" t="s" s="70">
        <v>70</v>
      </c>
      <c r="D19" t="s" s="71">
        <v>71</v>
      </c>
      <c r="E19" s="74"/>
      <c r="F19" s="82"/>
      <c r="G19" s="74"/>
      <c r="H19" s="82"/>
      <c r="I19" s="74"/>
      <c r="J19" s="82"/>
      <c r="K19" s="75"/>
      <c r="L19" s="76"/>
      <c r="M19" s="75"/>
      <c r="N19" s="76"/>
      <c r="O19" s="75"/>
      <c r="P19" s="76"/>
      <c r="Q19" s="75"/>
      <c r="R19" s="76"/>
      <c r="S19" s="18"/>
      <c r="T19" s="76"/>
      <c r="U19" s="75"/>
      <c r="V19" s="76"/>
      <c r="W19" s="75"/>
      <c r="X19" s="75"/>
      <c r="Y19" s="76"/>
      <c r="Z19" s="75"/>
      <c r="AA19" s="76"/>
      <c r="AB19" s="77">
        <f>SUM(T19:AA19)</f>
        <v>0</v>
      </c>
      <c r="AC19" s="18"/>
      <c r="AD19" s="78">
        <v>15</v>
      </c>
      <c r="AE19" s="76"/>
      <c r="AF19" s="75"/>
      <c r="AG19" s="18"/>
      <c r="AH19" s="76"/>
      <c r="AI19" s="75"/>
      <c r="AJ19" s="18"/>
      <c r="AK19" s="76"/>
      <c r="AL19" s="75"/>
      <c r="AM19" s="18"/>
      <c r="AN19" s="76"/>
      <c r="AO19" s="75"/>
      <c r="AP19" s="18"/>
      <c r="AQ19" s="78">
        <v>15</v>
      </c>
      <c r="AR19" s="76"/>
      <c r="AS19" s="75"/>
      <c r="AT19" s="18"/>
      <c r="AU19" s="76"/>
      <c r="AV19" s="75"/>
      <c r="AW19" s="18"/>
      <c r="AX19" s="76"/>
      <c r="AY19" s="75"/>
      <c r="AZ19" s="18"/>
      <c r="BA19" s="76"/>
      <c r="BB19" s="75"/>
      <c r="BC19" s="18"/>
      <c r="BD19" s="78">
        <v>15</v>
      </c>
      <c r="BE19" s="76"/>
      <c r="BF19" s="75"/>
      <c r="BG19" s="18"/>
      <c r="BH19" s="76"/>
      <c r="BI19" s="75"/>
      <c r="BJ19" s="18"/>
      <c r="BK19" s="76"/>
      <c r="BL19" s="75"/>
      <c r="BM19" s="18"/>
      <c r="BN19" s="76"/>
      <c r="BO19" s="75"/>
      <c r="BP19" s="18"/>
      <c r="BQ19" s="78">
        <v>15</v>
      </c>
      <c r="BR19" s="76"/>
      <c r="BS19" s="75"/>
      <c r="BT19" s="18"/>
      <c r="BU19" s="76"/>
      <c r="BV19" s="75"/>
      <c r="BW19" s="18"/>
      <c r="BX19" s="76"/>
      <c r="BY19" s="75"/>
      <c r="BZ19" s="18"/>
      <c r="CA19" s="76"/>
      <c r="CB19" s="75"/>
      <c r="CC19" s="18"/>
      <c r="CD19" s="78">
        <v>15</v>
      </c>
      <c r="CE19" s="79">
        <f>(AE19+AH19+AK19+AN19)/4</f>
        <v>0</v>
      </c>
      <c r="CF19" s="79">
        <f>(AR19+AU19+AX19+BA19)/4</f>
        <v>0</v>
      </c>
      <c r="CG19" s="79">
        <f>(BE19+BH19+BK19+BN19)/4</f>
        <v>0</v>
      </c>
      <c r="CH19" s="79">
        <f>(BR19+BU19+BX19+CA19)/4</f>
        <v>0</v>
      </c>
      <c r="CI19" s="18"/>
      <c r="CJ19" s="80">
        <f>SUM(CE19:CH19)/4</f>
        <v>0</v>
      </c>
      <c r="CK19" s="18"/>
      <c r="CL19" s="79">
        <f>CJ19*0.5</f>
        <v>0</v>
      </c>
      <c r="CM19" s="75"/>
      <c r="CN19" s="79">
        <f>CM19*0.5</f>
        <v>0</v>
      </c>
      <c r="CO19" s="81">
        <f>CN19+CL19</f>
        <v>0</v>
      </c>
      <c r="CP19" s="18"/>
      <c r="CQ19" s="79">
        <f>CJ19*0.3</f>
        <v>0</v>
      </c>
      <c r="CR19" s="75"/>
      <c r="CS19" s="79">
        <f>CR19*0.7</f>
        <v>0</v>
      </c>
      <c r="CT19" s="81">
        <f>CS19+CQ19</f>
        <v>0</v>
      </c>
    </row>
    <row r="20" ht="19.5" customHeight="1">
      <c r="A20" s="68"/>
      <c r="B20" s="69">
        <v>16</v>
      </c>
      <c r="C20" t="s" s="70">
        <v>72</v>
      </c>
      <c r="D20" t="s" s="71">
        <v>73</v>
      </c>
      <c r="E20" s="74"/>
      <c r="F20" s="82"/>
      <c r="G20" s="74"/>
      <c r="H20" s="82"/>
      <c r="I20" s="74"/>
      <c r="J20" s="82"/>
      <c r="K20" s="75"/>
      <c r="L20" s="76"/>
      <c r="M20" s="75"/>
      <c r="N20" s="76"/>
      <c r="O20" s="75"/>
      <c r="P20" s="76"/>
      <c r="Q20" s="75"/>
      <c r="R20" s="76"/>
      <c r="S20" s="18"/>
      <c r="T20" s="76"/>
      <c r="U20" s="75"/>
      <c r="V20" s="76"/>
      <c r="W20" s="75"/>
      <c r="X20" s="75"/>
      <c r="Y20" s="76"/>
      <c r="Z20" s="75"/>
      <c r="AA20" s="76"/>
      <c r="AB20" s="77">
        <f>SUM(T20:AA20)</f>
        <v>0</v>
      </c>
      <c r="AC20" s="18"/>
      <c r="AD20" s="78">
        <v>16</v>
      </c>
      <c r="AE20" s="76"/>
      <c r="AF20" s="75"/>
      <c r="AG20" s="18"/>
      <c r="AH20" s="76"/>
      <c r="AI20" s="75"/>
      <c r="AJ20" s="18"/>
      <c r="AK20" s="76"/>
      <c r="AL20" s="75"/>
      <c r="AM20" s="18"/>
      <c r="AN20" s="76"/>
      <c r="AO20" s="75"/>
      <c r="AP20" s="18"/>
      <c r="AQ20" s="78">
        <v>16</v>
      </c>
      <c r="AR20" s="76"/>
      <c r="AS20" s="75"/>
      <c r="AT20" s="18"/>
      <c r="AU20" s="76"/>
      <c r="AV20" s="75"/>
      <c r="AW20" s="18"/>
      <c r="AX20" s="76"/>
      <c r="AY20" s="75"/>
      <c r="AZ20" s="18"/>
      <c r="BA20" s="76"/>
      <c r="BB20" s="75"/>
      <c r="BC20" s="18"/>
      <c r="BD20" s="78">
        <v>16</v>
      </c>
      <c r="BE20" s="76"/>
      <c r="BF20" s="75"/>
      <c r="BG20" s="18"/>
      <c r="BH20" s="76"/>
      <c r="BI20" s="75"/>
      <c r="BJ20" s="18"/>
      <c r="BK20" s="76"/>
      <c r="BL20" s="75"/>
      <c r="BM20" s="18"/>
      <c r="BN20" s="76"/>
      <c r="BO20" s="75"/>
      <c r="BP20" s="18"/>
      <c r="BQ20" s="78">
        <v>16</v>
      </c>
      <c r="BR20" s="76"/>
      <c r="BS20" s="75"/>
      <c r="BT20" s="18"/>
      <c r="BU20" s="76"/>
      <c r="BV20" s="75"/>
      <c r="BW20" s="18"/>
      <c r="BX20" s="76"/>
      <c r="BY20" s="75"/>
      <c r="BZ20" s="18"/>
      <c r="CA20" s="76"/>
      <c r="CB20" s="75"/>
      <c r="CC20" s="18"/>
      <c r="CD20" s="78">
        <v>16</v>
      </c>
      <c r="CE20" s="79">
        <f>(AE20+AH20+AK20+AN20)/4</f>
        <v>0</v>
      </c>
      <c r="CF20" s="79">
        <f>(AR20+AU20+AX20+BA20)/4</f>
        <v>0</v>
      </c>
      <c r="CG20" s="79">
        <f>(BE20+BH20+BK20+BN20)/4</f>
        <v>0</v>
      </c>
      <c r="CH20" s="79">
        <f>(BR20+BU20+BX20+CA20)/4</f>
        <v>0</v>
      </c>
      <c r="CI20" s="18"/>
      <c r="CJ20" s="80">
        <f>SUM(CE20:CH20)/4</f>
        <v>0</v>
      </c>
      <c r="CK20" s="18"/>
      <c r="CL20" s="79">
        <f>CJ20*0.5</f>
        <v>0</v>
      </c>
      <c r="CM20" s="75"/>
      <c r="CN20" s="79">
        <f>CM20*0.5</f>
        <v>0</v>
      </c>
      <c r="CO20" s="81">
        <f>CN20+CL20</f>
        <v>0</v>
      </c>
      <c r="CP20" s="18"/>
      <c r="CQ20" s="79">
        <f>CJ20*0.3</f>
        <v>0</v>
      </c>
      <c r="CR20" s="75"/>
      <c r="CS20" s="79">
        <f>CR20*0.7</f>
        <v>0</v>
      </c>
      <c r="CT20" s="81">
        <f>CS20+CQ20</f>
        <v>0</v>
      </c>
    </row>
    <row r="21" ht="19.5" customHeight="1">
      <c r="A21" s="68"/>
      <c r="B21" s="69">
        <v>17</v>
      </c>
      <c r="C21" t="s" s="70">
        <v>74</v>
      </c>
      <c r="D21" t="s" s="71">
        <v>75</v>
      </c>
      <c r="E21" s="74"/>
      <c r="F21" s="82"/>
      <c r="G21" s="74"/>
      <c r="H21" s="82"/>
      <c r="I21" s="74"/>
      <c r="J21" s="82"/>
      <c r="K21" s="75"/>
      <c r="L21" s="76"/>
      <c r="M21" s="75"/>
      <c r="N21" s="76"/>
      <c r="O21" s="75"/>
      <c r="P21" s="76"/>
      <c r="Q21" s="75"/>
      <c r="R21" s="76"/>
      <c r="S21" s="18"/>
      <c r="T21" s="76"/>
      <c r="U21" s="75"/>
      <c r="V21" s="76"/>
      <c r="W21" s="75"/>
      <c r="X21" s="75"/>
      <c r="Y21" s="76"/>
      <c r="Z21" s="75"/>
      <c r="AA21" s="76"/>
      <c r="AB21" s="77">
        <f>SUM(T21:AA21)</f>
        <v>0</v>
      </c>
      <c r="AC21" s="18"/>
      <c r="AD21" s="78">
        <v>17</v>
      </c>
      <c r="AE21" s="76"/>
      <c r="AF21" s="75"/>
      <c r="AG21" s="18"/>
      <c r="AH21" s="76"/>
      <c r="AI21" s="75"/>
      <c r="AJ21" s="18"/>
      <c r="AK21" s="76"/>
      <c r="AL21" s="75"/>
      <c r="AM21" s="18"/>
      <c r="AN21" s="76"/>
      <c r="AO21" s="75"/>
      <c r="AP21" s="18"/>
      <c r="AQ21" s="78">
        <v>17</v>
      </c>
      <c r="AR21" s="76"/>
      <c r="AS21" s="75"/>
      <c r="AT21" s="18"/>
      <c r="AU21" s="76"/>
      <c r="AV21" s="75"/>
      <c r="AW21" s="18"/>
      <c r="AX21" s="76"/>
      <c r="AY21" s="75"/>
      <c r="AZ21" s="18"/>
      <c r="BA21" s="76"/>
      <c r="BB21" s="75"/>
      <c r="BC21" s="18"/>
      <c r="BD21" s="78">
        <v>17</v>
      </c>
      <c r="BE21" s="76"/>
      <c r="BF21" s="75"/>
      <c r="BG21" s="18"/>
      <c r="BH21" s="76"/>
      <c r="BI21" s="75"/>
      <c r="BJ21" s="18"/>
      <c r="BK21" s="76"/>
      <c r="BL21" s="75"/>
      <c r="BM21" s="18"/>
      <c r="BN21" s="76"/>
      <c r="BO21" s="75"/>
      <c r="BP21" s="18"/>
      <c r="BQ21" s="78">
        <v>17</v>
      </c>
      <c r="BR21" s="76"/>
      <c r="BS21" s="75"/>
      <c r="BT21" s="18"/>
      <c r="BU21" s="76"/>
      <c r="BV21" s="75"/>
      <c r="BW21" s="18"/>
      <c r="BX21" s="76"/>
      <c r="BY21" s="75"/>
      <c r="BZ21" s="18"/>
      <c r="CA21" s="76"/>
      <c r="CB21" s="75"/>
      <c r="CC21" s="18"/>
      <c r="CD21" s="78">
        <v>17</v>
      </c>
      <c r="CE21" s="79">
        <f>(AE21+AH21+AK21+AN21)/4</f>
        <v>0</v>
      </c>
      <c r="CF21" s="79">
        <f>(AR21+AU21+AX21+BA21)/4</f>
        <v>0</v>
      </c>
      <c r="CG21" s="79">
        <f>(BE21+BH21+BK21+BN21)/4</f>
        <v>0</v>
      </c>
      <c r="CH21" s="79">
        <f>(BR21+BU21+BX21+CA21)/4</f>
        <v>0</v>
      </c>
      <c r="CI21" s="18"/>
      <c r="CJ21" s="80">
        <f>SUM(CE21:CH21)/4</f>
        <v>0</v>
      </c>
      <c r="CK21" s="18"/>
      <c r="CL21" s="79">
        <f>CJ21*0.5</f>
        <v>0</v>
      </c>
      <c r="CM21" s="75"/>
      <c r="CN21" s="79">
        <f>CM21*0.5</f>
        <v>0</v>
      </c>
      <c r="CO21" s="81">
        <f>CN21+CL21</f>
        <v>0</v>
      </c>
      <c r="CP21" s="18"/>
      <c r="CQ21" s="79">
        <f>CJ21*0.3</f>
        <v>0</v>
      </c>
      <c r="CR21" s="75"/>
      <c r="CS21" s="79">
        <f>CR21*0.7</f>
        <v>0</v>
      </c>
      <c r="CT21" s="81">
        <f>CS21+CQ21</f>
        <v>0</v>
      </c>
    </row>
    <row r="22" ht="19.5" customHeight="1">
      <c r="A22" s="68"/>
      <c r="B22" s="69">
        <v>18</v>
      </c>
      <c r="C22" t="s" s="70">
        <v>76</v>
      </c>
      <c r="D22" t="s" s="71">
        <v>77</v>
      </c>
      <c r="E22" s="74"/>
      <c r="F22" s="82"/>
      <c r="G22" s="74"/>
      <c r="H22" s="82"/>
      <c r="I22" s="74"/>
      <c r="J22" s="82"/>
      <c r="K22" s="75"/>
      <c r="L22" s="76"/>
      <c r="M22" s="75"/>
      <c r="N22" s="76"/>
      <c r="O22" s="75"/>
      <c r="P22" s="76"/>
      <c r="Q22" s="75"/>
      <c r="R22" s="76"/>
      <c r="S22" s="18"/>
      <c r="T22" s="76"/>
      <c r="U22" s="75"/>
      <c r="V22" s="76"/>
      <c r="W22" s="75"/>
      <c r="X22" s="75"/>
      <c r="Y22" s="76"/>
      <c r="Z22" s="75"/>
      <c r="AA22" s="76"/>
      <c r="AB22" s="77">
        <f>SUM(T22:AA22)</f>
        <v>0</v>
      </c>
      <c r="AC22" s="18"/>
      <c r="AD22" s="78">
        <v>18</v>
      </c>
      <c r="AE22" s="76"/>
      <c r="AF22" s="75"/>
      <c r="AG22" s="18"/>
      <c r="AH22" s="76"/>
      <c r="AI22" s="75"/>
      <c r="AJ22" s="18"/>
      <c r="AK22" s="76"/>
      <c r="AL22" s="75"/>
      <c r="AM22" s="18"/>
      <c r="AN22" s="76"/>
      <c r="AO22" s="75"/>
      <c r="AP22" s="18"/>
      <c r="AQ22" s="78">
        <v>18</v>
      </c>
      <c r="AR22" s="76"/>
      <c r="AS22" s="75"/>
      <c r="AT22" s="18"/>
      <c r="AU22" s="76"/>
      <c r="AV22" s="75"/>
      <c r="AW22" s="18"/>
      <c r="AX22" s="76"/>
      <c r="AY22" s="75"/>
      <c r="AZ22" s="18"/>
      <c r="BA22" s="76"/>
      <c r="BB22" s="75"/>
      <c r="BC22" s="18"/>
      <c r="BD22" s="78">
        <v>18</v>
      </c>
      <c r="BE22" s="76"/>
      <c r="BF22" s="75"/>
      <c r="BG22" s="18"/>
      <c r="BH22" s="76"/>
      <c r="BI22" s="75"/>
      <c r="BJ22" s="18"/>
      <c r="BK22" s="76"/>
      <c r="BL22" s="75"/>
      <c r="BM22" s="18"/>
      <c r="BN22" s="76"/>
      <c r="BO22" s="75"/>
      <c r="BP22" s="18"/>
      <c r="BQ22" s="78">
        <v>18</v>
      </c>
      <c r="BR22" s="76"/>
      <c r="BS22" s="75"/>
      <c r="BT22" s="18"/>
      <c r="BU22" s="76"/>
      <c r="BV22" s="75"/>
      <c r="BW22" s="18"/>
      <c r="BX22" s="76"/>
      <c r="BY22" s="75"/>
      <c r="BZ22" s="18"/>
      <c r="CA22" s="76"/>
      <c r="CB22" s="75"/>
      <c r="CC22" s="18"/>
      <c r="CD22" s="78">
        <v>18</v>
      </c>
      <c r="CE22" s="79">
        <f>(AE22+AH22+AK22+AN22)/4</f>
        <v>0</v>
      </c>
      <c r="CF22" s="79">
        <f>(AR22+AU22+AX22+BA22)/4</f>
        <v>0</v>
      </c>
      <c r="CG22" s="79">
        <f>(BE22+BH22+BK22+BN22)/4</f>
        <v>0</v>
      </c>
      <c r="CH22" s="79">
        <f>(BR22+BU22+BX22+CA22)/4</f>
        <v>0</v>
      </c>
      <c r="CI22" s="18"/>
      <c r="CJ22" s="80">
        <f>SUM(CE22:CH22)/4</f>
        <v>0</v>
      </c>
      <c r="CK22" s="18"/>
      <c r="CL22" s="79">
        <f>CJ22*0.5</f>
        <v>0</v>
      </c>
      <c r="CM22" s="75"/>
      <c r="CN22" s="79">
        <f>CM22*0.5</f>
        <v>0</v>
      </c>
      <c r="CO22" s="81">
        <f>CN22+CL22</f>
        <v>0</v>
      </c>
      <c r="CP22" s="18"/>
      <c r="CQ22" s="79">
        <f>CJ22*0.3</f>
        <v>0</v>
      </c>
      <c r="CR22" s="75"/>
      <c r="CS22" s="79">
        <f>CR22*0.7</f>
        <v>0</v>
      </c>
      <c r="CT22" s="81">
        <f>CS22+CQ22</f>
        <v>0</v>
      </c>
    </row>
    <row r="23" ht="19.5" customHeight="1">
      <c r="A23" s="68"/>
      <c r="B23" s="69">
        <v>19</v>
      </c>
      <c r="C23" t="s" s="70">
        <v>78</v>
      </c>
      <c r="D23" t="s" s="71">
        <v>79</v>
      </c>
      <c r="E23" s="74"/>
      <c r="F23" s="82"/>
      <c r="G23" s="74"/>
      <c r="H23" s="82"/>
      <c r="I23" s="74"/>
      <c r="J23" s="82"/>
      <c r="K23" s="75"/>
      <c r="L23" s="76"/>
      <c r="M23" s="75"/>
      <c r="N23" s="76"/>
      <c r="O23" s="75"/>
      <c r="P23" s="76"/>
      <c r="Q23" s="75"/>
      <c r="R23" s="76"/>
      <c r="S23" s="18"/>
      <c r="T23" s="76"/>
      <c r="U23" s="75"/>
      <c r="V23" s="76"/>
      <c r="W23" s="75"/>
      <c r="X23" s="75"/>
      <c r="Y23" s="76"/>
      <c r="Z23" s="75"/>
      <c r="AA23" s="76"/>
      <c r="AB23" s="77">
        <f>SUM(T23:AA23)</f>
        <v>0</v>
      </c>
      <c r="AC23" s="18"/>
      <c r="AD23" s="78">
        <v>19</v>
      </c>
      <c r="AE23" s="76"/>
      <c r="AF23" s="75"/>
      <c r="AG23" s="18"/>
      <c r="AH23" s="76"/>
      <c r="AI23" s="75"/>
      <c r="AJ23" s="18"/>
      <c r="AK23" s="76"/>
      <c r="AL23" s="75"/>
      <c r="AM23" s="18"/>
      <c r="AN23" s="76"/>
      <c r="AO23" s="75"/>
      <c r="AP23" s="18"/>
      <c r="AQ23" s="78">
        <v>19</v>
      </c>
      <c r="AR23" s="76"/>
      <c r="AS23" s="75"/>
      <c r="AT23" s="18"/>
      <c r="AU23" s="76"/>
      <c r="AV23" s="75"/>
      <c r="AW23" s="18"/>
      <c r="AX23" s="76"/>
      <c r="AY23" s="75"/>
      <c r="AZ23" s="18"/>
      <c r="BA23" s="76"/>
      <c r="BB23" s="75"/>
      <c r="BC23" s="18"/>
      <c r="BD23" s="78">
        <v>19</v>
      </c>
      <c r="BE23" s="76"/>
      <c r="BF23" s="75"/>
      <c r="BG23" s="18"/>
      <c r="BH23" s="76"/>
      <c r="BI23" s="75"/>
      <c r="BJ23" s="18"/>
      <c r="BK23" s="76"/>
      <c r="BL23" s="75"/>
      <c r="BM23" s="18"/>
      <c r="BN23" s="76"/>
      <c r="BO23" s="75"/>
      <c r="BP23" s="18"/>
      <c r="BQ23" s="78">
        <v>19</v>
      </c>
      <c r="BR23" s="76"/>
      <c r="BS23" s="75"/>
      <c r="BT23" s="18"/>
      <c r="BU23" s="76"/>
      <c r="BV23" s="75"/>
      <c r="BW23" s="18"/>
      <c r="BX23" s="76"/>
      <c r="BY23" s="75"/>
      <c r="BZ23" s="18"/>
      <c r="CA23" s="76"/>
      <c r="CB23" s="75"/>
      <c r="CC23" s="18"/>
      <c r="CD23" s="78">
        <v>19</v>
      </c>
      <c r="CE23" s="79">
        <f>(AE23+AH23+AK23+AN23)/4</f>
        <v>0</v>
      </c>
      <c r="CF23" s="79">
        <f>(AR23+AU23+AX23+BA23)/4</f>
        <v>0</v>
      </c>
      <c r="CG23" s="79">
        <f>(BE23+BH23+BK23+BN23)/4</f>
        <v>0</v>
      </c>
      <c r="CH23" s="79">
        <f>(BR23+BU23+BX23+CA23)/4</f>
        <v>0</v>
      </c>
      <c r="CI23" s="18"/>
      <c r="CJ23" s="80">
        <f>SUM(CE23:CH23)/4</f>
        <v>0</v>
      </c>
      <c r="CK23" s="18"/>
      <c r="CL23" s="79">
        <f>CJ23*0.5</f>
        <v>0</v>
      </c>
      <c r="CM23" s="75"/>
      <c r="CN23" s="79">
        <f>CM23*0.5</f>
        <v>0</v>
      </c>
      <c r="CO23" s="81">
        <f>CN23+CL23</f>
        <v>0</v>
      </c>
      <c r="CP23" s="18"/>
      <c r="CQ23" s="79">
        <f>CJ23*0.3</f>
        <v>0</v>
      </c>
      <c r="CR23" s="75"/>
      <c r="CS23" s="79">
        <f>CR23*0.7</f>
        <v>0</v>
      </c>
      <c r="CT23" s="81">
        <f>CS23+CQ23</f>
        <v>0</v>
      </c>
    </row>
    <row r="24" ht="19.5" customHeight="1">
      <c r="A24" s="68"/>
      <c r="B24" s="69">
        <v>20</v>
      </c>
      <c r="C24" t="s" s="70">
        <v>80</v>
      </c>
      <c r="D24" t="s" s="71">
        <v>81</v>
      </c>
      <c r="E24" s="74"/>
      <c r="F24" s="82"/>
      <c r="G24" s="74"/>
      <c r="H24" s="82"/>
      <c r="I24" s="74"/>
      <c r="J24" s="82"/>
      <c r="K24" s="75"/>
      <c r="L24" s="76"/>
      <c r="M24" s="75"/>
      <c r="N24" s="76"/>
      <c r="O24" s="75"/>
      <c r="P24" s="76"/>
      <c r="Q24" s="75"/>
      <c r="R24" s="76"/>
      <c r="S24" s="18"/>
      <c r="T24" s="76"/>
      <c r="U24" s="75"/>
      <c r="V24" s="76"/>
      <c r="W24" s="75"/>
      <c r="X24" s="75"/>
      <c r="Y24" s="76"/>
      <c r="Z24" s="75"/>
      <c r="AA24" s="76"/>
      <c r="AB24" s="77">
        <f>SUM(T24:AA24)</f>
        <v>0</v>
      </c>
      <c r="AC24" s="18"/>
      <c r="AD24" s="78">
        <v>20</v>
      </c>
      <c r="AE24" s="76"/>
      <c r="AF24" s="75"/>
      <c r="AG24" s="18"/>
      <c r="AH24" s="76"/>
      <c r="AI24" s="75"/>
      <c r="AJ24" s="18"/>
      <c r="AK24" s="76"/>
      <c r="AL24" s="75"/>
      <c r="AM24" s="18"/>
      <c r="AN24" s="76"/>
      <c r="AO24" s="75"/>
      <c r="AP24" s="18"/>
      <c r="AQ24" s="78">
        <v>20</v>
      </c>
      <c r="AR24" s="76"/>
      <c r="AS24" s="75"/>
      <c r="AT24" s="18"/>
      <c r="AU24" s="76"/>
      <c r="AV24" s="75"/>
      <c r="AW24" s="18"/>
      <c r="AX24" s="76"/>
      <c r="AY24" s="75"/>
      <c r="AZ24" s="18"/>
      <c r="BA24" s="76"/>
      <c r="BB24" s="75"/>
      <c r="BC24" s="18"/>
      <c r="BD24" s="78">
        <v>20</v>
      </c>
      <c r="BE24" s="76"/>
      <c r="BF24" s="75"/>
      <c r="BG24" s="18"/>
      <c r="BH24" s="76"/>
      <c r="BI24" s="75"/>
      <c r="BJ24" s="18"/>
      <c r="BK24" s="76"/>
      <c r="BL24" s="75"/>
      <c r="BM24" s="18"/>
      <c r="BN24" s="76"/>
      <c r="BO24" s="75"/>
      <c r="BP24" s="18"/>
      <c r="BQ24" s="78">
        <v>20</v>
      </c>
      <c r="BR24" s="76"/>
      <c r="BS24" s="75"/>
      <c r="BT24" s="18"/>
      <c r="BU24" s="76"/>
      <c r="BV24" s="75"/>
      <c r="BW24" s="18"/>
      <c r="BX24" s="76"/>
      <c r="BY24" s="75"/>
      <c r="BZ24" s="18"/>
      <c r="CA24" s="76"/>
      <c r="CB24" s="75"/>
      <c r="CC24" s="18"/>
      <c r="CD24" s="78">
        <v>20</v>
      </c>
      <c r="CE24" s="79">
        <f>(AE24+AH24+AK24+AN24)/4</f>
        <v>0</v>
      </c>
      <c r="CF24" s="79">
        <f>(AR24+AU24+AX24+BA24)/4</f>
        <v>0</v>
      </c>
      <c r="CG24" s="79">
        <f>(BE24+BH24+BK24+BN24)/4</f>
        <v>0</v>
      </c>
      <c r="CH24" s="79">
        <f>(BR24+BU24+BX24+CA24)/4</f>
        <v>0</v>
      </c>
      <c r="CI24" s="18"/>
      <c r="CJ24" s="80">
        <f>SUM(CE24:CH24)/4</f>
        <v>0</v>
      </c>
      <c r="CK24" s="18"/>
      <c r="CL24" s="79">
        <f>CJ24*0.5</f>
        <v>0</v>
      </c>
      <c r="CM24" s="75"/>
      <c r="CN24" s="79">
        <f>CM24*0.5</f>
        <v>0</v>
      </c>
      <c r="CO24" s="81">
        <f>CN24+CL24</f>
        <v>0</v>
      </c>
      <c r="CP24" s="18"/>
      <c r="CQ24" s="79">
        <f>CJ24*0.3</f>
        <v>0</v>
      </c>
      <c r="CR24" s="75"/>
      <c r="CS24" s="79">
        <f>CR24*0.7</f>
        <v>0</v>
      </c>
      <c r="CT24" s="81">
        <f>CS24+CQ24</f>
        <v>0</v>
      </c>
    </row>
    <row r="25" ht="19.5" customHeight="1">
      <c r="A25" s="68"/>
      <c r="B25" s="69">
        <v>21</v>
      </c>
      <c r="C25" t="s" s="70">
        <v>82</v>
      </c>
      <c r="D25" t="s" s="71">
        <v>83</v>
      </c>
      <c r="E25" s="74"/>
      <c r="F25" s="82"/>
      <c r="G25" s="74"/>
      <c r="H25" s="82"/>
      <c r="I25" s="74"/>
      <c r="J25" s="82"/>
      <c r="K25" s="75"/>
      <c r="L25" s="76"/>
      <c r="M25" s="75"/>
      <c r="N25" s="76"/>
      <c r="O25" s="75"/>
      <c r="P25" s="76"/>
      <c r="Q25" s="75"/>
      <c r="R25" s="76"/>
      <c r="S25" s="18"/>
      <c r="T25" s="76"/>
      <c r="U25" s="75"/>
      <c r="V25" s="76"/>
      <c r="W25" s="75"/>
      <c r="X25" s="75"/>
      <c r="Y25" s="76"/>
      <c r="Z25" s="75"/>
      <c r="AA25" s="76"/>
      <c r="AB25" s="77">
        <f>SUM(T25:AA25)</f>
        <v>0</v>
      </c>
      <c r="AC25" s="18"/>
      <c r="AD25" s="78">
        <v>21</v>
      </c>
      <c r="AE25" s="76"/>
      <c r="AF25" s="75"/>
      <c r="AG25" s="18"/>
      <c r="AH25" s="76"/>
      <c r="AI25" s="75"/>
      <c r="AJ25" s="18"/>
      <c r="AK25" s="76"/>
      <c r="AL25" s="75"/>
      <c r="AM25" s="18"/>
      <c r="AN25" s="76"/>
      <c r="AO25" s="75"/>
      <c r="AP25" s="18"/>
      <c r="AQ25" s="78">
        <v>21</v>
      </c>
      <c r="AR25" s="76"/>
      <c r="AS25" s="75"/>
      <c r="AT25" s="18"/>
      <c r="AU25" s="76"/>
      <c r="AV25" s="75"/>
      <c r="AW25" s="18"/>
      <c r="AX25" s="76"/>
      <c r="AY25" s="75"/>
      <c r="AZ25" s="18"/>
      <c r="BA25" s="76"/>
      <c r="BB25" s="75"/>
      <c r="BC25" s="18"/>
      <c r="BD25" s="78">
        <v>21</v>
      </c>
      <c r="BE25" s="76"/>
      <c r="BF25" s="75"/>
      <c r="BG25" s="18"/>
      <c r="BH25" s="76"/>
      <c r="BI25" s="75"/>
      <c r="BJ25" s="18"/>
      <c r="BK25" s="76"/>
      <c r="BL25" s="75"/>
      <c r="BM25" s="18"/>
      <c r="BN25" s="76"/>
      <c r="BO25" s="75"/>
      <c r="BP25" s="18"/>
      <c r="BQ25" s="78">
        <v>21</v>
      </c>
      <c r="BR25" s="76"/>
      <c r="BS25" s="75"/>
      <c r="BT25" s="18"/>
      <c r="BU25" s="76"/>
      <c r="BV25" s="75"/>
      <c r="BW25" s="18"/>
      <c r="BX25" s="76"/>
      <c r="BY25" s="75"/>
      <c r="BZ25" s="18"/>
      <c r="CA25" s="76"/>
      <c r="CB25" s="75"/>
      <c r="CC25" s="18"/>
      <c r="CD25" s="78">
        <v>21</v>
      </c>
      <c r="CE25" s="79">
        <f>(AE25+AH25+AK25+AN25)/4</f>
        <v>0</v>
      </c>
      <c r="CF25" s="79">
        <f>(AR25+AU25+AX25+BA25)/4</f>
        <v>0</v>
      </c>
      <c r="CG25" s="79">
        <f>(BE25+BH25+BK25+BN25)/4</f>
        <v>0</v>
      </c>
      <c r="CH25" s="79">
        <f>(BR25+BU25+BX25+CA25)/4</f>
        <v>0</v>
      </c>
      <c r="CI25" s="18"/>
      <c r="CJ25" s="80">
        <f>SUM(CE25:CH25)/4</f>
        <v>0</v>
      </c>
      <c r="CK25" s="18"/>
      <c r="CL25" s="79">
        <f>CJ25*0.5</f>
        <v>0</v>
      </c>
      <c r="CM25" s="75"/>
      <c r="CN25" s="79">
        <f>CM25*0.5</f>
        <v>0</v>
      </c>
      <c r="CO25" s="81">
        <f>CN25+CL25</f>
        <v>0</v>
      </c>
      <c r="CP25" s="18"/>
      <c r="CQ25" s="79">
        <f>CJ25*0.3</f>
        <v>0</v>
      </c>
      <c r="CR25" s="75"/>
      <c r="CS25" s="79">
        <f>CR25*0.7</f>
        <v>0</v>
      </c>
      <c r="CT25" s="81">
        <f>CS25+CQ25</f>
        <v>0</v>
      </c>
    </row>
    <row r="26" ht="19.5" customHeight="1">
      <c r="A26" s="68"/>
      <c r="B26" s="69">
        <v>22</v>
      </c>
      <c r="C26" t="s" s="70">
        <v>84</v>
      </c>
      <c r="D26" t="s" s="71">
        <v>85</v>
      </c>
      <c r="E26" s="74"/>
      <c r="F26" s="82"/>
      <c r="G26" s="74"/>
      <c r="H26" s="82"/>
      <c r="I26" s="74"/>
      <c r="J26" s="82"/>
      <c r="K26" s="75"/>
      <c r="L26" s="76"/>
      <c r="M26" s="75"/>
      <c r="N26" s="76"/>
      <c r="O26" s="75"/>
      <c r="P26" s="76"/>
      <c r="Q26" s="75"/>
      <c r="R26" s="76"/>
      <c r="S26" s="18"/>
      <c r="T26" s="76"/>
      <c r="U26" s="75"/>
      <c r="V26" s="76"/>
      <c r="W26" s="75"/>
      <c r="X26" s="75"/>
      <c r="Y26" s="76"/>
      <c r="Z26" s="75"/>
      <c r="AA26" s="76"/>
      <c r="AB26" s="77">
        <f>SUM(T26:AA26)</f>
        <v>0</v>
      </c>
      <c r="AC26" s="18"/>
      <c r="AD26" s="78">
        <v>22</v>
      </c>
      <c r="AE26" s="76"/>
      <c r="AF26" s="75"/>
      <c r="AG26" s="18"/>
      <c r="AH26" s="76"/>
      <c r="AI26" s="75"/>
      <c r="AJ26" s="18"/>
      <c r="AK26" s="76"/>
      <c r="AL26" s="75"/>
      <c r="AM26" s="18"/>
      <c r="AN26" s="76"/>
      <c r="AO26" s="75"/>
      <c r="AP26" s="18"/>
      <c r="AQ26" s="78">
        <v>22</v>
      </c>
      <c r="AR26" s="76"/>
      <c r="AS26" s="75"/>
      <c r="AT26" s="18"/>
      <c r="AU26" s="76"/>
      <c r="AV26" s="75"/>
      <c r="AW26" s="18"/>
      <c r="AX26" s="76"/>
      <c r="AY26" s="75"/>
      <c r="AZ26" s="18"/>
      <c r="BA26" s="76"/>
      <c r="BB26" s="75"/>
      <c r="BC26" s="18"/>
      <c r="BD26" s="78">
        <v>22</v>
      </c>
      <c r="BE26" s="76"/>
      <c r="BF26" s="75"/>
      <c r="BG26" s="18"/>
      <c r="BH26" s="76"/>
      <c r="BI26" s="75"/>
      <c r="BJ26" s="18"/>
      <c r="BK26" s="76"/>
      <c r="BL26" s="75"/>
      <c r="BM26" s="18"/>
      <c r="BN26" s="76"/>
      <c r="BO26" s="75"/>
      <c r="BP26" s="18"/>
      <c r="BQ26" s="78">
        <v>22</v>
      </c>
      <c r="BR26" s="76"/>
      <c r="BS26" s="75"/>
      <c r="BT26" s="18"/>
      <c r="BU26" s="76"/>
      <c r="BV26" s="75"/>
      <c r="BW26" s="18"/>
      <c r="BX26" s="76"/>
      <c r="BY26" s="75"/>
      <c r="BZ26" s="18"/>
      <c r="CA26" s="76"/>
      <c r="CB26" s="75"/>
      <c r="CC26" s="18"/>
      <c r="CD26" s="78">
        <v>22</v>
      </c>
      <c r="CE26" s="79">
        <f>(AE26+AH26+AK26+AN26)/4</f>
        <v>0</v>
      </c>
      <c r="CF26" s="79">
        <f>(AR26+AU26+AX26+BA26)/4</f>
        <v>0</v>
      </c>
      <c r="CG26" s="79">
        <f>(BE26+BH26+BK26+BN26)/4</f>
        <v>0</v>
      </c>
      <c r="CH26" s="79">
        <f>(BR26+BU26+BX26+CA26)/4</f>
        <v>0</v>
      </c>
      <c r="CI26" s="18"/>
      <c r="CJ26" s="80">
        <f>SUM(CE26:CH26)/4</f>
        <v>0</v>
      </c>
      <c r="CK26" s="18"/>
      <c r="CL26" s="79">
        <f>CJ26*0.5</f>
        <v>0</v>
      </c>
      <c r="CM26" s="75"/>
      <c r="CN26" s="79">
        <f>CM26*0.5</f>
        <v>0</v>
      </c>
      <c r="CO26" s="81">
        <f>CN26+CL26</f>
        <v>0</v>
      </c>
      <c r="CP26" s="18"/>
      <c r="CQ26" s="79">
        <f>CJ26*0.3</f>
        <v>0</v>
      </c>
      <c r="CR26" s="75"/>
      <c r="CS26" s="79">
        <f>CR26*0.7</f>
        <v>0</v>
      </c>
      <c r="CT26" s="81">
        <f>CS26+CQ26</f>
        <v>0</v>
      </c>
    </row>
    <row r="27" ht="19.5" customHeight="1">
      <c r="A27" s="68"/>
      <c r="B27" s="69">
        <v>23</v>
      </c>
      <c r="C27" t="s" s="70">
        <v>86</v>
      </c>
      <c r="D27" t="s" s="71">
        <v>87</v>
      </c>
      <c r="E27" s="74"/>
      <c r="F27" s="82"/>
      <c r="G27" s="74"/>
      <c r="H27" s="82"/>
      <c r="I27" s="74"/>
      <c r="J27" s="82"/>
      <c r="K27" s="75"/>
      <c r="L27" s="76"/>
      <c r="M27" s="75"/>
      <c r="N27" s="76"/>
      <c r="O27" s="75"/>
      <c r="P27" s="76"/>
      <c r="Q27" s="75"/>
      <c r="R27" s="76"/>
      <c r="S27" s="18"/>
      <c r="T27" s="76"/>
      <c r="U27" s="75"/>
      <c r="V27" s="76"/>
      <c r="W27" s="75"/>
      <c r="X27" s="75"/>
      <c r="Y27" s="76"/>
      <c r="Z27" s="75"/>
      <c r="AA27" s="76"/>
      <c r="AB27" s="77">
        <f>SUM(T27:AA27)</f>
        <v>0</v>
      </c>
      <c r="AC27" s="18"/>
      <c r="AD27" s="78">
        <v>23</v>
      </c>
      <c r="AE27" s="76"/>
      <c r="AF27" s="75"/>
      <c r="AG27" s="18"/>
      <c r="AH27" s="76"/>
      <c r="AI27" s="75"/>
      <c r="AJ27" s="18"/>
      <c r="AK27" s="76"/>
      <c r="AL27" s="75"/>
      <c r="AM27" s="18"/>
      <c r="AN27" s="76"/>
      <c r="AO27" s="75"/>
      <c r="AP27" s="18"/>
      <c r="AQ27" s="78">
        <v>23</v>
      </c>
      <c r="AR27" s="76"/>
      <c r="AS27" s="75"/>
      <c r="AT27" s="18"/>
      <c r="AU27" s="76"/>
      <c r="AV27" s="75"/>
      <c r="AW27" s="18"/>
      <c r="AX27" s="76"/>
      <c r="AY27" s="75"/>
      <c r="AZ27" s="18"/>
      <c r="BA27" s="76"/>
      <c r="BB27" s="75"/>
      <c r="BC27" s="18"/>
      <c r="BD27" s="78">
        <v>23</v>
      </c>
      <c r="BE27" s="76"/>
      <c r="BF27" s="75"/>
      <c r="BG27" s="18"/>
      <c r="BH27" s="76"/>
      <c r="BI27" s="75"/>
      <c r="BJ27" s="18"/>
      <c r="BK27" s="76"/>
      <c r="BL27" s="75"/>
      <c r="BM27" s="18"/>
      <c r="BN27" s="76"/>
      <c r="BO27" s="75"/>
      <c r="BP27" s="18"/>
      <c r="BQ27" s="78">
        <v>23</v>
      </c>
      <c r="BR27" s="76"/>
      <c r="BS27" s="75"/>
      <c r="BT27" s="18"/>
      <c r="BU27" s="76"/>
      <c r="BV27" s="75"/>
      <c r="BW27" s="18"/>
      <c r="BX27" s="76"/>
      <c r="BY27" s="75"/>
      <c r="BZ27" s="18"/>
      <c r="CA27" s="76"/>
      <c r="CB27" s="75"/>
      <c r="CC27" s="18"/>
      <c r="CD27" s="78">
        <v>23</v>
      </c>
      <c r="CE27" s="79">
        <f>(AE27+AH27+AK27+AN27)/4</f>
        <v>0</v>
      </c>
      <c r="CF27" s="79">
        <f>(AR27+AU27+AX27+BA27)/4</f>
        <v>0</v>
      </c>
      <c r="CG27" s="79">
        <f>(BE27+BH27+BK27+BN27)/4</f>
        <v>0</v>
      </c>
      <c r="CH27" s="79">
        <f>(BR27+BU27+BX27+CA27)/4</f>
        <v>0</v>
      </c>
      <c r="CI27" s="18"/>
      <c r="CJ27" s="80">
        <f>SUM(CE27:CH27)/4</f>
        <v>0</v>
      </c>
      <c r="CK27" s="18"/>
      <c r="CL27" s="79">
        <f>CJ27*0.5</f>
        <v>0</v>
      </c>
      <c r="CM27" s="75"/>
      <c r="CN27" s="79">
        <f>CM27*0.5</f>
        <v>0</v>
      </c>
      <c r="CO27" s="81">
        <f>CN27+CL27</f>
        <v>0</v>
      </c>
      <c r="CP27" s="18"/>
      <c r="CQ27" s="79">
        <f>CJ27*0.3</f>
        <v>0</v>
      </c>
      <c r="CR27" s="75"/>
      <c r="CS27" s="79">
        <f>CR27*0.7</f>
        <v>0</v>
      </c>
      <c r="CT27" s="81">
        <f>CS27+CQ27</f>
        <v>0</v>
      </c>
    </row>
    <row r="28" ht="19.5" customHeight="1">
      <c r="A28" s="68"/>
      <c r="B28" s="69">
        <v>24</v>
      </c>
      <c r="C28" t="s" s="70">
        <v>88</v>
      </c>
      <c r="D28" t="s" s="71">
        <v>89</v>
      </c>
      <c r="E28" s="74"/>
      <c r="F28" s="82"/>
      <c r="G28" s="74"/>
      <c r="H28" s="82"/>
      <c r="I28" s="74"/>
      <c r="J28" s="82"/>
      <c r="K28" s="75"/>
      <c r="L28" s="76"/>
      <c r="M28" s="75"/>
      <c r="N28" s="76"/>
      <c r="O28" s="75"/>
      <c r="P28" s="76"/>
      <c r="Q28" s="75"/>
      <c r="R28" s="76"/>
      <c r="S28" s="18"/>
      <c r="T28" s="76"/>
      <c r="U28" s="75"/>
      <c r="V28" s="76"/>
      <c r="W28" s="75"/>
      <c r="X28" s="75"/>
      <c r="Y28" s="76"/>
      <c r="Z28" s="75"/>
      <c r="AA28" s="76"/>
      <c r="AB28" s="77">
        <f>SUM(T28:AA28)</f>
        <v>0</v>
      </c>
      <c r="AC28" s="18"/>
      <c r="AD28" s="78">
        <v>24</v>
      </c>
      <c r="AE28" s="76"/>
      <c r="AF28" s="75"/>
      <c r="AG28" s="18"/>
      <c r="AH28" s="76"/>
      <c r="AI28" s="75"/>
      <c r="AJ28" s="18"/>
      <c r="AK28" s="76"/>
      <c r="AL28" s="75"/>
      <c r="AM28" s="18"/>
      <c r="AN28" s="76"/>
      <c r="AO28" s="75"/>
      <c r="AP28" s="18"/>
      <c r="AQ28" s="78">
        <v>24</v>
      </c>
      <c r="AR28" s="76"/>
      <c r="AS28" s="75"/>
      <c r="AT28" s="18"/>
      <c r="AU28" s="76"/>
      <c r="AV28" s="75"/>
      <c r="AW28" s="18"/>
      <c r="AX28" s="76"/>
      <c r="AY28" s="75"/>
      <c r="AZ28" s="18"/>
      <c r="BA28" s="76"/>
      <c r="BB28" s="75"/>
      <c r="BC28" s="18"/>
      <c r="BD28" s="78">
        <v>24</v>
      </c>
      <c r="BE28" s="76"/>
      <c r="BF28" s="75"/>
      <c r="BG28" s="18"/>
      <c r="BH28" s="76"/>
      <c r="BI28" s="75"/>
      <c r="BJ28" s="18"/>
      <c r="BK28" s="76"/>
      <c r="BL28" s="75"/>
      <c r="BM28" s="18"/>
      <c r="BN28" s="76"/>
      <c r="BO28" s="75"/>
      <c r="BP28" s="18"/>
      <c r="BQ28" s="78">
        <v>24</v>
      </c>
      <c r="BR28" s="76"/>
      <c r="BS28" s="75"/>
      <c r="BT28" s="18"/>
      <c r="BU28" s="76"/>
      <c r="BV28" s="75"/>
      <c r="BW28" s="18"/>
      <c r="BX28" s="76"/>
      <c r="BY28" s="75"/>
      <c r="BZ28" s="18"/>
      <c r="CA28" s="76"/>
      <c r="CB28" s="75"/>
      <c r="CC28" s="18"/>
      <c r="CD28" s="78">
        <v>24</v>
      </c>
      <c r="CE28" s="79">
        <f>(AE28+AH28+AK28+AN28)/4</f>
        <v>0</v>
      </c>
      <c r="CF28" s="79">
        <f>(AR28+AU28+AX28+BA28)/4</f>
        <v>0</v>
      </c>
      <c r="CG28" s="79">
        <f>(BE28+BH28+BK28+BN28)/4</f>
        <v>0</v>
      </c>
      <c r="CH28" s="79">
        <f>(BR28+BU28+BX28+CA28)/4</f>
        <v>0</v>
      </c>
      <c r="CI28" s="18"/>
      <c r="CJ28" s="80">
        <f>SUM(CE28:CH28)/4</f>
        <v>0</v>
      </c>
      <c r="CK28" s="18"/>
      <c r="CL28" s="79">
        <f>CJ28*0.5</f>
        <v>0</v>
      </c>
      <c r="CM28" s="75"/>
      <c r="CN28" s="79">
        <f>CM28*0.5</f>
        <v>0</v>
      </c>
      <c r="CO28" s="81">
        <f>CN28+CL28</f>
        <v>0</v>
      </c>
      <c r="CP28" s="18"/>
      <c r="CQ28" s="79">
        <f>CJ28*0.3</f>
        <v>0</v>
      </c>
      <c r="CR28" s="75"/>
      <c r="CS28" s="79">
        <f>CR28*0.7</f>
        <v>0</v>
      </c>
      <c r="CT28" s="81">
        <f>CS28+CQ28</f>
        <v>0</v>
      </c>
    </row>
    <row r="29" ht="19.5" customHeight="1">
      <c r="A29" s="68"/>
      <c r="B29" s="69">
        <v>25</v>
      </c>
      <c r="C29" t="s" s="70">
        <v>90</v>
      </c>
      <c r="D29" t="s" s="71">
        <v>91</v>
      </c>
      <c r="E29" s="74"/>
      <c r="F29" s="82"/>
      <c r="G29" s="74"/>
      <c r="H29" s="82"/>
      <c r="I29" s="74"/>
      <c r="J29" s="82"/>
      <c r="K29" s="75"/>
      <c r="L29" s="76"/>
      <c r="M29" s="75"/>
      <c r="N29" s="76"/>
      <c r="O29" s="75"/>
      <c r="P29" s="76"/>
      <c r="Q29" s="75"/>
      <c r="R29" s="76"/>
      <c r="S29" s="18"/>
      <c r="T29" s="76"/>
      <c r="U29" s="75"/>
      <c r="V29" s="76"/>
      <c r="W29" s="75"/>
      <c r="X29" s="75"/>
      <c r="Y29" s="76"/>
      <c r="Z29" s="75"/>
      <c r="AA29" s="76"/>
      <c r="AB29" s="77">
        <f>SUM(T29:AA29)</f>
        <v>0</v>
      </c>
      <c r="AC29" s="18"/>
      <c r="AD29" s="78">
        <v>25</v>
      </c>
      <c r="AE29" s="76"/>
      <c r="AF29" s="75"/>
      <c r="AG29" s="18"/>
      <c r="AH29" s="76"/>
      <c r="AI29" s="75"/>
      <c r="AJ29" s="18"/>
      <c r="AK29" s="76"/>
      <c r="AL29" s="75"/>
      <c r="AM29" s="18"/>
      <c r="AN29" s="76"/>
      <c r="AO29" s="75"/>
      <c r="AP29" s="18"/>
      <c r="AQ29" s="78">
        <v>25</v>
      </c>
      <c r="AR29" s="76"/>
      <c r="AS29" s="75"/>
      <c r="AT29" s="18"/>
      <c r="AU29" s="76"/>
      <c r="AV29" s="75"/>
      <c r="AW29" s="18"/>
      <c r="AX29" s="76"/>
      <c r="AY29" s="75"/>
      <c r="AZ29" s="18"/>
      <c r="BA29" s="76"/>
      <c r="BB29" s="75"/>
      <c r="BC29" s="18"/>
      <c r="BD29" s="78">
        <v>25</v>
      </c>
      <c r="BE29" s="76"/>
      <c r="BF29" s="75"/>
      <c r="BG29" s="18"/>
      <c r="BH29" s="76"/>
      <c r="BI29" s="75"/>
      <c r="BJ29" s="18"/>
      <c r="BK29" s="76"/>
      <c r="BL29" s="75"/>
      <c r="BM29" s="18"/>
      <c r="BN29" s="76"/>
      <c r="BO29" s="75"/>
      <c r="BP29" s="18"/>
      <c r="BQ29" s="78">
        <v>25</v>
      </c>
      <c r="BR29" s="76"/>
      <c r="BS29" s="75"/>
      <c r="BT29" s="18"/>
      <c r="BU29" s="76"/>
      <c r="BV29" s="75"/>
      <c r="BW29" s="18"/>
      <c r="BX29" s="76"/>
      <c r="BY29" s="75"/>
      <c r="BZ29" s="18"/>
      <c r="CA29" s="76"/>
      <c r="CB29" s="75"/>
      <c r="CC29" s="18"/>
      <c r="CD29" s="78">
        <v>25</v>
      </c>
      <c r="CE29" s="79">
        <f>(AE29+AH29+AK29+AN29)/4</f>
        <v>0</v>
      </c>
      <c r="CF29" s="79">
        <f>(AR29+AU29+AX29+BA29)/4</f>
        <v>0</v>
      </c>
      <c r="CG29" s="79">
        <f>(BE29+BH29+BK29+BN29)/4</f>
        <v>0</v>
      </c>
      <c r="CH29" s="79">
        <f>(BR29+BU29+BX29+CA29)/4</f>
        <v>0</v>
      </c>
      <c r="CI29" s="18"/>
      <c r="CJ29" s="80">
        <f>SUM(CE29:CH29)/4</f>
        <v>0</v>
      </c>
      <c r="CK29" s="18"/>
      <c r="CL29" s="79">
        <f>CJ29*0.5</f>
        <v>0</v>
      </c>
      <c r="CM29" s="75"/>
      <c r="CN29" s="79">
        <f>CM29*0.5</f>
        <v>0</v>
      </c>
      <c r="CO29" s="81">
        <f>CN29+CL29</f>
        <v>0</v>
      </c>
      <c r="CP29" s="18"/>
      <c r="CQ29" s="79">
        <f>CJ29*0.3</f>
        <v>0</v>
      </c>
      <c r="CR29" s="75"/>
      <c r="CS29" s="79">
        <f>CR29*0.7</f>
        <v>0</v>
      </c>
      <c r="CT29" s="81">
        <f>CS29+CQ29</f>
        <v>0</v>
      </c>
    </row>
    <row r="30" ht="19.5" customHeight="1">
      <c r="A30" s="68"/>
      <c r="B30" s="69">
        <v>26</v>
      </c>
      <c r="C30" t="s" s="70">
        <v>92</v>
      </c>
      <c r="D30" t="s" s="71">
        <v>93</v>
      </c>
      <c r="E30" s="74"/>
      <c r="F30" s="82"/>
      <c r="G30" s="74"/>
      <c r="H30" s="82"/>
      <c r="I30" s="74"/>
      <c r="J30" s="82"/>
      <c r="K30" s="75"/>
      <c r="L30" s="76"/>
      <c r="M30" s="75"/>
      <c r="N30" s="76"/>
      <c r="O30" s="75"/>
      <c r="P30" s="76"/>
      <c r="Q30" s="75"/>
      <c r="R30" s="76"/>
      <c r="S30" s="18"/>
      <c r="T30" s="76"/>
      <c r="U30" s="75"/>
      <c r="V30" s="76"/>
      <c r="W30" s="75"/>
      <c r="X30" s="75"/>
      <c r="Y30" s="76"/>
      <c r="Z30" s="75"/>
      <c r="AA30" s="76"/>
      <c r="AB30" s="77">
        <f>SUM(T30:AA30)</f>
        <v>0</v>
      </c>
      <c r="AC30" s="18"/>
      <c r="AD30" s="78">
        <v>26</v>
      </c>
      <c r="AE30" s="76"/>
      <c r="AF30" s="75"/>
      <c r="AG30" s="18"/>
      <c r="AH30" s="76"/>
      <c r="AI30" s="75"/>
      <c r="AJ30" s="18"/>
      <c r="AK30" s="76"/>
      <c r="AL30" s="75"/>
      <c r="AM30" s="18"/>
      <c r="AN30" s="76"/>
      <c r="AO30" s="75"/>
      <c r="AP30" s="18"/>
      <c r="AQ30" s="78">
        <v>26</v>
      </c>
      <c r="AR30" s="76"/>
      <c r="AS30" s="75"/>
      <c r="AT30" s="18"/>
      <c r="AU30" s="76"/>
      <c r="AV30" s="75"/>
      <c r="AW30" s="18"/>
      <c r="AX30" s="76"/>
      <c r="AY30" s="75"/>
      <c r="AZ30" s="18"/>
      <c r="BA30" s="76"/>
      <c r="BB30" s="75"/>
      <c r="BC30" s="18"/>
      <c r="BD30" s="78">
        <v>26</v>
      </c>
      <c r="BE30" s="76"/>
      <c r="BF30" s="75"/>
      <c r="BG30" s="18"/>
      <c r="BH30" s="76"/>
      <c r="BI30" s="75"/>
      <c r="BJ30" s="18"/>
      <c r="BK30" s="76"/>
      <c r="BL30" s="75"/>
      <c r="BM30" s="18"/>
      <c r="BN30" s="76"/>
      <c r="BO30" s="75"/>
      <c r="BP30" s="18"/>
      <c r="BQ30" s="78">
        <v>26</v>
      </c>
      <c r="BR30" s="76"/>
      <c r="BS30" s="75"/>
      <c r="BT30" s="18"/>
      <c r="BU30" s="76"/>
      <c r="BV30" s="75"/>
      <c r="BW30" s="18"/>
      <c r="BX30" s="76"/>
      <c r="BY30" s="75"/>
      <c r="BZ30" s="18"/>
      <c r="CA30" s="76"/>
      <c r="CB30" s="75"/>
      <c r="CC30" s="18"/>
      <c r="CD30" s="78">
        <v>26</v>
      </c>
      <c r="CE30" s="79">
        <f>(AE30+AH30+AK30+AN30)/4</f>
        <v>0</v>
      </c>
      <c r="CF30" s="79">
        <f>(AR30+AU30+AX30+BA30)/4</f>
        <v>0</v>
      </c>
      <c r="CG30" s="79">
        <f>(BE30+BH30+BK30+BN30)/4</f>
        <v>0</v>
      </c>
      <c r="CH30" s="79">
        <f>(BR30+BU30+BX30+CA30)/4</f>
        <v>0</v>
      </c>
      <c r="CI30" s="18"/>
      <c r="CJ30" s="80">
        <f>SUM(CE30:CH30)/4</f>
        <v>0</v>
      </c>
      <c r="CK30" s="18"/>
      <c r="CL30" s="79">
        <f>CJ30*0.5</f>
        <v>0</v>
      </c>
      <c r="CM30" s="75"/>
      <c r="CN30" s="79">
        <f>CM30*0.5</f>
        <v>0</v>
      </c>
      <c r="CO30" s="81">
        <f>CN30+CL30</f>
        <v>0</v>
      </c>
      <c r="CP30" s="18"/>
      <c r="CQ30" s="79">
        <f>CJ30*0.3</f>
        <v>0</v>
      </c>
      <c r="CR30" s="75"/>
      <c r="CS30" s="79">
        <f>CR30*0.7</f>
        <v>0</v>
      </c>
      <c r="CT30" s="81">
        <f>CS30+CQ30</f>
        <v>0</v>
      </c>
    </row>
    <row r="31" ht="19.5" customHeight="1">
      <c r="A31" s="68"/>
      <c r="B31" s="69">
        <v>27</v>
      </c>
      <c r="C31" t="s" s="70">
        <v>94</v>
      </c>
      <c r="D31" t="s" s="71">
        <v>95</v>
      </c>
      <c r="E31" s="74"/>
      <c r="F31" s="82"/>
      <c r="G31" s="74"/>
      <c r="H31" s="82"/>
      <c r="I31" s="74"/>
      <c r="J31" s="82"/>
      <c r="K31" s="75"/>
      <c r="L31" s="76"/>
      <c r="M31" s="75"/>
      <c r="N31" s="76"/>
      <c r="O31" s="75"/>
      <c r="P31" s="76"/>
      <c r="Q31" s="75"/>
      <c r="R31" s="76"/>
      <c r="S31" s="18"/>
      <c r="T31" s="76"/>
      <c r="U31" s="75"/>
      <c r="V31" s="76"/>
      <c r="W31" s="75"/>
      <c r="X31" s="75"/>
      <c r="Y31" s="76"/>
      <c r="Z31" s="75"/>
      <c r="AA31" s="76"/>
      <c r="AB31" s="77">
        <f>SUM(T31:AA31)</f>
        <v>0</v>
      </c>
      <c r="AC31" s="18"/>
      <c r="AD31" s="78">
        <v>27</v>
      </c>
      <c r="AE31" s="76"/>
      <c r="AF31" s="75"/>
      <c r="AG31" s="18"/>
      <c r="AH31" s="76"/>
      <c r="AI31" s="75"/>
      <c r="AJ31" s="18"/>
      <c r="AK31" s="76"/>
      <c r="AL31" s="75"/>
      <c r="AM31" s="18"/>
      <c r="AN31" s="76"/>
      <c r="AO31" s="75"/>
      <c r="AP31" s="18"/>
      <c r="AQ31" s="78">
        <v>27</v>
      </c>
      <c r="AR31" s="76"/>
      <c r="AS31" s="75"/>
      <c r="AT31" s="18"/>
      <c r="AU31" s="76"/>
      <c r="AV31" s="75"/>
      <c r="AW31" s="18"/>
      <c r="AX31" s="76"/>
      <c r="AY31" s="75"/>
      <c r="AZ31" s="18"/>
      <c r="BA31" s="76"/>
      <c r="BB31" s="75"/>
      <c r="BC31" s="18"/>
      <c r="BD31" s="78">
        <v>27</v>
      </c>
      <c r="BE31" s="76"/>
      <c r="BF31" s="75"/>
      <c r="BG31" s="18"/>
      <c r="BH31" s="76"/>
      <c r="BI31" s="75"/>
      <c r="BJ31" s="18"/>
      <c r="BK31" s="76"/>
      <c r="BL31" s="75"/>
      <c r="BM31" s="18"/>
      <c r="BN31" s="76"/>
      <c r="BO31" s="75"/>
      <c r="BP31" s="18"/>
      <c r="BQ31" s="78">
        <v>27</v>
      </c>
      <c r="BR31" s="76"/>
      <c r="BS31" s="75"/>
      <c r="BT31" s="18"/>
      <c r="BU31" s="76"/>
      <c r="BV31" s="75"/>
      <c r="BW31" s="18"/>
      <c r="BX31" s="76"/>
      <c r="BY31" s="75"/>
      <c r="BZ31" s="18"/>
      <c r="CA31" s="76"/>
      <c r="CB31" s="75"/>
      <c r="CC31" s="18"/>
      <c r="CD31" s="78">
        <v>27</v>
      </c>
      <c r="CE31" s="79">
        <f>(AE31+AH31+AK31+AN31)/4</f>
        <v>0</v>
      </c>
      <c r="CF31" s="79">
        <f>(AR31+AU31+AX31+BA31)/4</f>
        <v>0</v>
      </c>
      <c r="CG31" s="79">
        <f>(BE31+BH31+BK31+BN31)/4</f>
        <v>0</v>
      </c>
      <c r="CH31" s="79">
        <f>(BR31+BU31+BX31+CA31)/4</f>
        <v>0</v>
      </c>
      <c r="CI31" s="18"/>
      <c r="CJ31" s="80">
        <f>SUM(CE31:CH31)/4</f>
        <v>0</v>
      </c>
      <c r="CK31" s="18"/>
      <c r="CL31" s="79">
        <f>CJ31*0.5</f>
        <v>0</v>
      </c>
      <c r="CM31" s="75"/>
      <c r="CN31" s="79">
        <f>CM31*0.5</f>
        <v>0</v>
      </c>
      <c r="CO31" s="81">
        <f>CN31+CL31</f>
        <v>0</v>
      </c>
      <c r="CP31" s="18"/>
      <c r="CQ31" s="79">
        <f>CJ31*0.3</f>
        <v>0</v>
      </c>
      <c r="CR31" s="75"/>
      <c r="CS31" s="79">
        <f>CR31*0.7</f>
        <v>0</v>
      </c>
      <c r="CT31" s="81">
        <f>CS31+CQ31</f>
        <v>0</v>
      </c>
    </row>
    <row r="32" ht="19.5" customHeight="1">
      <c r="A32" s="68"/>
      <c r="B32" s="69">
        <v>28</v>
      </c>
      <c r="C32" t="s" s="70">
        <v>96</v>
      </c>
      <c r="D32" t="s" s="71">
        <v>97</v>
      </c>
      <c r="E32" s="74"/>
      <c r="F32" s="82"/>
      <c r="G32" s="74"/>
      <c r="H32" s="82"/>
      <c r="I32" s="74"/>
      <c r="J32" s="82"/>
      <c r="K32" s="75"/>
      <c r="L32" s="76"/>
      <c r="M32" s="75"/>
      <c r="N32" s="76"/>
      <c r="O32" s="75"/>
      <c r="P32" s="76"/>
      <c r="Q32" s="75"/>
      <c r="R32" s="76"/>
      <c r="S32" s="18"/>
      <c r="T32" s="76"/>
      <c r="U32" s="75"/>
      <c r="V32" s="76"/>
      <c r="W32" s="75"/>
      <c r="X32" s="75"/>
      <c r="Y32" s="76"/>
      <c r="Z32" s="75"/>
      <c r="AA32" s="76"/>
      <c r="AB32" s="77">
        <f>SUM(T32:AA32)</f>
        <v>0</v>
      </c>
      <c r="AC32" s="18"/>
      <c r="AD32" s="78">
        <v>28</v>
      </c>
      <c r="AE32" s="76"/>
      <c r="AF32" s="75"/>
      <c r="AG32" s="18"/>
      <c r="AH32" s="76"/>
      <c r="AI32" s="75"/>
      <c r="AJ32" s="18"/>
      <c r="AK32" s="76"/>
      <c r="AL32" s="75"/>
      <c r="AM32" s="18"/>
      <c r="AN32" s="76"/>
      <c r="AO32" s="75"/>
      <c r="AP32" s="18"/>
      <c r="AQ32" s="78">
        <v>28</v>
      </c>
      <c r="AR32" s="76"/>
      <c r="AS32" s="75"/>
      <c r="AT32" s="18"/>
      <c r="AU32" s="76"/>
      <c r="AV32" s="75"/>
      <c r="AW32" s="18"/>
      <c r="AX32" s="76"/>
      <c r="AY32" s="75"/>
      <c r="AZ32" s="18"/>
      <c r="BA32" s="76"/>
      <c r="BB32" s="75"/>
      <c r="BC32" s="18"/>
      <c r="BD32" s="78">
        <v>28</v>
      </c>
      <c r="BE32" s="76"/>
      <c r="BF32" s="75"/>
      <c r="BG32" s="18"/>
      <c r="BH32" s="76"/>
      <c r="BI32" s="75"/>
      <c r="BJ32" s="18"/>
      <c r="BK32" s="76"/>
      <c r="BL32" s="75"/>
      <c r="BM32" s="18"/>
      <c r="BN32" s="76"/>
      <c r="BO32" s="75"/>
      <c r="BP32" s="18"/>
      <c r="BQ32" s="78">
        <v>28</v>
      </c>
      <c r="BR32" s="76"/>
      <c r="BS32" s="75"/>
      <c r="BT32" s="18"/>
      <c r="BU32" s="76"/>
      <c r="BV32" s="75"/>
      <c r="BW32" s="18"/>
      <c r="BX32" s="76"/>
      <c r="BY32" s="75"/>
      <c r="BZ32" s="18"/>
      <c r="CA32" s="76"/>
      <c r="CB32" s="75"/>
      <c r="CC32" s="18"/>
      <c r="CD32" s="78">
        <v>28</v>
      </c>
      <c r="CE32" s="79">
        <f>(AE32+AH32+AK32+AN32)/4</f>
        <v>0</v>
      </c>
      <c r="CF32" s="79">
        <f>(AR32+AU32+AX32+BA32)/4</f>
        <v>0</v>
      </c>
      <c r="CG32" s="79">
        <f>(BE32+BH32+BK32+BN32)/4</f>
        <v>0</v>
      </c>
      <c r="CH32" s="79">
        <f>(BR32+BU32+BX32+CA32)/4</f>
        <v>0</v>
      </c>
      <c r="CI32" s="18"/>
      <c r="CJ32" s="80">
        <f>SUM(CE32:CH32)/4</f>
        <v>0</v>
      </c>
      <c r="CK32" s="18"/>
      <c r="CL32" s="79">
        <f>CJ32*0.5</f>
        <v>0</v>
      </c>
      <c r="CM32" s="75"/>
      <c r="CN32" s="79">
        <f>CM32*0.5</f>
        <v>0</v>
      </c>
      <c r="CO32" s="81">
        <f>CN32+CL32</f>
        <v>0</v>
      </c>
      <c r="CP32" s="18"/>
      <c r="CQ32" s="79">
        <f>CJ32*0.3</f>
        <v>0</v>
      </c>
      <c r="CR32" s="75"/>
      <c r="CS32" s="79">
        <f>CR32*0.7</f>
        <v>0</v>
      </c>
      <c r="CT32" s="81">
        <f>CS32+CQ32</f>
        <v>0</v>
      </c>
    </row>
    <row r="33" ht="19.5" customHeight="1">
      <c r="A33" s="68"/>
      <c r="B33" s="69">
        <v>29</v>
      </c>
      <c r="C33" t="s" s="70">
        <v>98</v>
      </c>
      <c r="D33" t="s" s="71">
        <v>99</v>
      </c>
      <c r="E33" s="74"/>
      <c r="F33" s="82"/>
      <c r="G33" s="74"/>
      <c r="H33" s="82"/>
      <c r="I33" s="74"/>
      <c r="J33" s="82"/>
      <c r="K33" s="75"/>
      <c r="L33" s="76"/>
      <c r="M33" s="75"/>
      <c r="N33" s="76"/>
      <c r="O33" s="75"/>
      <c r="P33" s="76"/>
      <c r="Q33" s="75"/>
      <c r="R33" s="76"/>
      <c r="S33" s="18"/>
      <c r="T33" s="76"/>
      <c r="U33" s="75"/>
      <c r="V33" s="76"/>
      <c r="W33" s="75"/>
      <c r="X33" s="75"/>
      <c r="Y33" s="76"/>
      <c r="Z33" s="75"/>
      <c r="AA33" s="76"/>
      <c r="AB33" s="77">
        <f>SUM(T33:AA33)</f>
        <v>0</v>
      </c>
      <c r="AC33" s="18"/>
      <c r="AD33" s="78">
        <v>29</v>
      </c>
      <c r="AE33" s="76"/>
      <c r="AF33" s="75"/>
      <c r="AG33" s="18"/>
      <c r="AH33" s="76"/>
      <c r="AI33" s="75"/>
      <c r="AJ33" s="18"/>
      <c r="AK33" s="76"/>
      <c r="AL33" s="75"/>
      <c r="AM33" s="18"/>
      <c r="AN33" s="76"/>
      <c r="AO33" s="75"/>
      <c r="AP33" s="18"/>
      <c r="AQ33" s="78">
        <v>29</v>
      </c>
      <c r="AR33" s="76"/>
      <c r="AS33" s="75"/>
      <c r="AT33" s="18"/>
      <c r="AU33" s="76"/>
      <c r="AV33" s="75"/>
      <c r="AW33" s="18"/>
      <c r="AX33" s="76"/>
      <c r="AY33" s="75"/>
      <c r="AZ33" s="18"/>
      <c r="BA33" s="76"/>
      <c r="BB33" s="75"/>
      <c r="BC33" s="18"/>
      <c r="BD33" s="78">
        <v>29</v>
      </c>
      <c r="BE33" s="76"/>
      <c r="BF33" s="75"/>
      <c r="BG33" s="18"/>
      <c r="BH33" s="76"/>
      <c r="BI33" s="75"/>
      <c r="BJ33" s="18"/>
      <c r="BK33" s="76"/>
      <c r="BL33" s="75"/>
      <c r="BM33" s="18"/>
      <c r="BN33" s="76"/>
      <c r="BO33" s="75"/>
      <c r="BP33" s="18"/>
      <c r="BQ33" s="78">
        <v>29</v>
      </c>
      <c r="BR33" s="76"/>
      <c r="BS33" s="75"/>
      <c r="BT33" s="18"/>
      <c r="BU33" s="76"/>
      <c r="BV33" s="75"/>
      <c r="BW33" s="18"/>
      <c r="BX33" s="76"/>
      <c r="BY33" s="75"/>
      <c r="BZ33" s="18"/>
      <c r="CA33" s="76"/>
      <c r="CB33" s="75"/>
      <c r="CC33" s="18"/>
      <c r="CD33" s="78">
        <v>29</v>
      </c>
      <c r="CE33" s="79">
        <f>(AE33+AH33+AK33+AN33)/4</f>
        <v>0</v>
      </c>
      <c r="CF33" s="79">
        <f>(AR33+AU33+AX33+BA33)/4</f>
        <v>0</v>
      </c>
      <c r="CG33" s="79">
        <f>(BE33+BH33+BK33+BN33)/4</f>
        <v>0</v>
      </c>
      <c r="CH33" s="79">
        <f>(BR33+BU33+BX33+CA33)/4</f>
        <v>0</v>
      </c>
      <c r="CI33" s="18"/>
      <c r="CJ33" s="80">
        <f>SUM(CE33:CH33)/4</f>
        <v>0</v>
      </c>
      <c r="CK33" s="18"/>
      <c r="CL33" s="79">
        <f>CJ33*0.5</f>
        <v>0</v>
      </c>
      <c r="CM33" s="75"/>
      <c r="CN33" s="79">
        <f>CM33*0.5</f>
        <v>0</v>
      </c>
      <c r="CO33" s="81">
        <f>CN33+CL33</f>
        <v>0</v>
      </c>
      <c r="CP33" s="18"/>
      <c r="CQ33" s="79">
        <f>CJ33*0.3</f>
        <v>0</v>
      </c>
      <c r="CR33" s="75"/>
      <c r="CS33" s="79">
        <f>CR33*0.7</f>
        <v>0</v>
      </c>
      <c r="CT33" s="81">
        <f>CS33+CQ33</f>
        <v>0</v>
      </c>
    </row>
    <row r="34" ht="19.5" customHeight="1">
      <c r="A34" s="68"/>
      <c r="B34" s="69">
        <v>30</v>
      </c>
      <c r="C34" t="s" s="70">
        <v>100</v>
      </c>
      <c r="D34" t="s" s="71">
        <v>101</v>
      </c>
      <c r="E34" s="74"/>
      <c r="F34" s="82"/>
      <c r="G34" s="74"/>
      <c r="H34" s="82"/>
      <c r="I34" s="74"/>
      <c r="J34" s="82"/>
      <c r="K34" s="75"/>
      <c r="L34" s="76"/>
      <c r="M34" s="75"/>
      <c r="N34" s="76"/>
      <c r="O34" s="75"/>
      <c r="P34" s="76"/>
      <c r="Q34" s="75"/>
      <c r="R34" s="76"/>
      <c r="S34" s="18"/>
      <c r="T34" s="76"/>
      <c r="U34" s="75"/>
      <c r="V34" s="76"/>
      <c r="W34" s="75"/>
      <c r="X34" s="75"/>
      <c r="Y34" s="76"/>
      <c r="Z34" s="75"/>
      <c r="AA34" s="76"/>
      <c r="AB34" s="77">
        <f>SUM(T34:AA34)</f>
        <v>0</v>
      </c>
      <c r="AC34" s="18"/>
      <c r="AD34" s="78">
        <v>30</v>
      </c>
      <c r="AE34" s="76"/>
      <c r="AF34" s="75"/>
      <c r="AG34" s="18"/>
      <c r="AH34" s="76"/>
      <c r="AI34" s="75"/>
      <c r="AJ34" s="18"/>
      <c r="AK34" s="76"/>
      <c r="AL34" s="75"/>
      <c r="AM34" s="18"/>
      <c r="AN34" s="76"/>
      <c r="AO34" s="75"/>
      <c r="AP34" s="18"/>
      <c r="AQ34" s="78">
        <v>30</v>
      </c>
      <c r="AR34" s="76"/>
      <c r="AS34" s="75"/>
      <c r="AT34" s="18"/>
      <c r="AU34" s="76"/>
      <c r="AV34" s="75"/>
      <c r="AW34" s="18"/>
      <c r="AX34" s="76"/>
      <c r="AY34" s="75"/>
      <c r="AZ34" s="18"/>
      <c r="BA34" s="76"/>
      <c r="BB34" s="75"/>
      <c r="BC34" s="18"/>
      <c r="BD34" s="78">
        <v>30</v>
      </c>
      <c r="BE34" s="76"/>
      <c r="BF34" s="75"/>
      <c r="BG34" s="18"/>
      <c r="BH34" s="76"/>
      <c r="BI34" s="75"/>
      <c r="BJ34" s="18"/>
      <c r="BK34" s="76"/>
      <c r="BL34" s="75"/>
      <c r="BM34" s="18"/>
      <c r="BN34" s="76"/>
      <c r="BO34" s="75"/>
      <c r="BP34" s="18"/>
      <c r="BQ34" s="78">
        <v>30</v>
      </c>
      <c r="BR34" s="76"/>
      <c r="BS34" s="75"/>
      <c r="BT34" s="18"/>
      <c r="BU34" s="76"/>
      <c r="BV34" s="75"/>
      <c r="BW34" s="18"/>
      <c r="BX34" s="76"/>
      <c r="BY34" s="75"/>
      <c r="BZ34" s="18"/>
      <c r="CA34" s="76"/>
      <c r="CB34" s="75"/>
      <c r="CC34" s="18"/>
      <c r="CD34" s="78">
        <v>30</v>
      </c>
      <c r="CE34" s="79">
        <f>(AE34+AH34+AK34+AN34)/4</f>
        <v>0</v>
      </c>
      <c r="CF34" s="79">
        <f>(AR34+AU34+AX34+BA34)/4</f>
        <v>0</v>
      </c>
      <c r="CG34" s="79">
        <f>(BE34+BH34+BK34+BN34)/4</f>
        <v>0</v>
      </c>
      <c r="CH34" s="79">
        <f>(BR34+BU34+BX34+CA34)/4</f>
        <v>0</v>
      </c>
      <c r="CI34" s="18"/>
      <c r="CJ34" s="80">
        <f>SUM(CE34:CH34)/4</f>
        <v>0</v>
      </c>
      <c r="CK34" s="18"/>
      <c r="CL34" s="79">
        <f>CJ34*0.5</f>
        <v>0</v>
      </c>
      <c r="CM34" s="75"/>
      <c r="CN34" s="79">
        <f>CM34*0.5</f>
        <v>0</v>
      </c>
      <c r="CO34" s="81">
        <f>CN34+CL34</f>
        <v>0</v>
      </c>
      <c r="CP34" s="18"/>
      <c r="CQ34" s="79">
        <f>CJ34*0.3</f>
        <v>0</v>
      </c>
      <c r="CR34" s="75"/>
      <c r="CS34" s="79">
        <f>CR34*0.7</f>
        <v>0</v>
      </c>
      <c r="CT34" s="81">
        <f>CS34+CQ34</f>
        <v>0</v>
      </c>
    </row>
    <row r="35" ht="19.5" customHeight="1">
      <c r="A35" s="68"/>
      <c r="B35" s="69">
        <v>31</v>
      </c>
      <c r="C35" t="s" s="70">
        <v>102</v>
      </c>
      <c r="D35" t="s" s="71">
        <v>103</v>
      </c>
      <c r="E35" s="74"/>
      <c r="F35" s="82"/>
      <c r="G35" s="74"/>
      <c r="H35" s="82"/>
      <c r="I35" s="74"/>
      <c r="J35" s="82"/>
      <c r="K35" s="75"/>
      <c r="L35" s="76"/>
      <c r="M35" s="75"/>
      <c r="N35" s="76"/>
      <c r="O35" s="75"/>
      <c r="P35" s="76"/>
      <c r="Q35" s="75"/>
      <c r="R35" s="76"/>
      <c r="S35" s="18"/>
      <c r="T35" s="76"/>
      <c r="U35" s="75"/>
      <c r="V35" s="76"/>
      <c r="W35" s="75"/>
      <c r="X35" s="75"/>
      <c r="Y35" s="76"/>
      <c r="Z35" s="75"/>
      <c r="AA35" s="76"/>
      <c r="AB35" s="77">
        <f>SUM(T35:AA35)</f>
        <v>0</v>
      </c>
      <c r="AC35" s="18"/>
      <c r="AD35" s="78">
        <v>31</v>
      </c>
      <c r="AE35" s="76"/>
      <c r="AF35" s="75"/>
      <c r="AG35" s="18"/>
      <c r="AH35" s="76"/>
      <c r="AI35" s="75"/>
      <c r="AJ35" s="18"/>
      <c r="AK35" s="76"/>
      <c r="AL35" s="75"/>
      <c r="AM35" s="18"/>
      <c r="AN35" s="76"/>
      <c r="AO35" s="75"/>
      <c r="AP35" s="18"/>
      <c r="AQ35" s="78">
        <v>31</v>
      </c>
      <c r="AR35" s="76"/>
      <c r="AS35" s="75"/>
      <c r="AT35" s="18"/>
      <c r="AU35" s="76"/>
      <c r="AV35" s="75"/>
      <c r="AW35" s="18"/>
      <c r="AX35" s="76"/>
      <c r="AY35" s="75"/>
      <c r="AZ35" s="18"/>
      <c r="BA35" s="76"/>
      <c r="BB35" s="75"/>
      <c r="BC35" s="18"/>
      <c r="BD35" s="78">
        <v>31</v>
      </c>
      <c r="BE35" s="76"/>
      <c r="BF35" s="75"/>
      <c r="BG35" s="18"/>
      <c r="BH35" s="76"/>
      <c r="BI35" s="75"/>
      <c r="BJ35" s="18"/>
      <c r="BK35" s="76"/>
      <c r="BL35" s="75"/>
      <c r="BM35" s="18"/>
      <c r="BN35" s="76"/>
      <c r="BO35" s="75"/>
      <c r="BP35" s="18"/>
      <c r="BQ35" s="78">
        <v>31</v>
      </c>
      <c r="BR35" s="76"/>
      <c r="BS35" s="75"/>
      <c r="BT35" s="18"/>
      <c r="BU35" s="76"/>
      <c r="BV35" s="75"/>
      <c r="BW35" s="18"/>
      <c r="BX35" s="76"/>
      <c r="BY35" s="75"/>
      <c r="BZ35" s="18"/>
      <c r="CA35" s="76"/>
      <c r="CB35" s="75"/>
      <c r="CC35" s="18"/>
      <c r="CD35" s="78">
        <v>31</v>
      </c>
      <c r="CE35" s="79">
        <f>(AE35+AH35+AK35+AN35)/4</f>
        <v>0</v>
      </c>
      <c r="CF35" s="79">
        <f>(AR35+AU35+AX35+BA35)/4</f>
        <v>0</v>
      </c>
      <c r="CG35" s="79">
        <f>(BE35+BH35+BK35+BN35)/4</f>
        <v>0</v>
      </c>
      <c r="CH35" s="79">
        <f>(BR35+BU35+BX35+CA35)/4</f>
        <v>0</v>
      </c>
      <c r="CI35" s="18"/>
      <c r="CJ35" s="80">
        <f>SUM(CE35:CH35)/4</f>
        <v>0</v>
      </c>
      <c r="CK35" s="18"/>
      <c r="CL35" s="79">
        <f>CJ35*0.5</f>
        <v>0</v>
      </c>
      <c r="CM35" s="75"/>
      <c r="CN35" s="79">
        <f>CM35*0.5</f>
        <v>0</v>
      </c>
      <c r="CO35" s="81">
        <f>CN35+CL35</f>
        <v>0</v>
      </c>
      <c r="CP35" s="18"/>
      <c r="CQ35" s="79">
        <f>CJ35*0.3</f>
        <v>0</v>
      </c>
      <c r="CR35" s="75"/>
      <c r="CS35" s="79">
        <f>CR35*0.7</f>
        <v>0</v>
      </c>
      <c r="CT35" s="81">
        <f>CS35+CQ35</f>
        <v>0</v>
      </c>
    </row>
    <row r="36" ht="19.5" customHeight="1">
      <c r="A36" s="68"/>
      <c r="B36" s="69">
        <v>32</v>
      </c>
      <c r="C36" t="s" s="70">
        <v>104</v>
      </c>
      <c r="D36" t="s" s="71">
        <v>105</v>
      </c>
      <c r="E36" s="74"/>
      <c r="F36" s="82"/>
      <c r="G36" s="74"/>
      <c r="H36" s="82"/>
      <c r="I36" s="74"/>
      <c r="J36" s="82"/>
      <c r="K36" s="75"/>
      <c r="L36" s="76"/>
      <c r="M36" s="75"/>
      <c r="N36" s="76"/>
      <c r="O36" s="75"/>
      <c r="P36" s="76"/>
      <c r="Q36" s="75"/>
      <c r="R36" s="76"/>
      <c r="S36" s="18"/>
      <c r="T36" s="76"/>
      <c r="U36" s="75"/>
      <c r="V36" s="76"/>
      <c r="W36" s="75"/>
      <c r="X36" s="75"/>
      <c r="Y36" s="76"/>
      <c r="Z36" s="75"/>
      <c r="AA36" s="76"/>
      <c r="AB36" s="77">
        <f>SUM(T36:AA36)</f>
        <v>0</v>
      </c>
      <c r="AC36" s="18"/>
      <c r="AD36" s="78">
        <v>32</v>
      </c>
      <c r="AE36" s="76"/>
      <c r="AF36" s="75"/>
      <c r="AG36" s="18"/>
      <c r="AH36" s="76"/>
      <c r="AI36" s="75"/>
      <c r="AJ36" s="18"/>
      <c r="AK36" s="76"/>
      <c r="AL36" s="75"/>
      <c r="AM36" s="18"/>
      <c r="AN36" s="76"/>
      <c r="AO36" s="75"/>
      <c r="AP36" s="18"/>
      <c r="AQ36" s="78">
        <v>32</v>
      </c>
      <c r="AR36" s="76"/>
      <c r="AS36" s="75"/>
      <c r="AT36" s="18"/>
      <c r="AU36" s="76"/>
      <c r="AV36" s="75"/>
      <c r="AW36" s="18"/>
      <c r="AX36" s="76"/>
      <c r="AY36" s="75"/>
      <c r="AZ36" s="18"/>
      <c r="BA36" s="76"/>
      <c r="BB36" s="75"/>
      <c r="BC36" s="18"/>
      <c r="BD36" s="78">
        <v>32</v>
      </c>
      <c r="BE36" s="76"/>
      <c r="BF36" s="75"/>
      <c r="BG36" s="18"/>
      <c r="BH36" s="76"/>
      <c r="BI36" s="75"/>
      <c r="BJ36" s="18"/>
      <c r="BK36" s="76"/>
      <c r="BL36" s="75"/>
      <c r="BM36" s="18"/>
      <c r="BN36" s="76"/>
      <c r="BO36" s="75"/>
      <c r="BP36" s="18"/>
      <c r="BQ36" s="78">
        <v>32</v>
      </c>
      <c r="BR36" s="76"/>
      <c r="BS36" s="75"/>
      <c r="BT36" s="18"/>
      <c r="BU36" s="76"/>
      <c r="BV36" s="75"/>
      <c r="BW36" s="18"/>
      <c r="BX36" s="76"/>
      <c r="BY36" s="75"/>
      <c r="BZ36" s="18"/>
      <c r="CA36" s="76"/>
      <c r="CB36" s="75"/>
      <c r="CC36" s="18"/>
      <c r="CD36" s="78">
        <v>32</v>
      </c>
      <c r="CE36" s="79">
        <f>(AE36+AH36+AK36+AN36)/4</f>
        <v>0</v>
      </c>
      <c r="CF36" s="79">
        <f>(AR36+AU36+AX36+BA36)/4</f>
        <v>0</v>
      </c>
      <c r="CG36" s="79">
        <f>(BE36+BH36+BK36+BN36)/4</f>
        <v>0</v>
      </c>
      <c r="CH36" s="79">
        <f>(BR36+BU36+BX36+CA36)/4</f>
        <v>0</v>
      </c>
      <c r="CI36" s="18"/>
      <c r="CJ36" s="80">
        <f>SUM(CE36:CH36)/4</f>
        <v>0</v>
      </c>
      <c r="CK36" s="18"/>
      <c r="CL36" s="79">
        <f>CJ36*0.5</f>
        <v>0</v>
      </c>
      <c r="CM36" s="75"/>
      <c r="CN36" s="79">
        <f>CM36*0.5</f>
        <v>0</v>
      </c>
      <c r="CO36" s="81">
        <f>CN36+CL36</f>
        <v>0</v>
      </c>
      <c r="CP36" s="18"/>
      <c r="CQ36" s="79">
        <f>CJ36*0.3</f>
        <v>0</v>
      </c>
      <c r="CR36" s="75"/>
      <c r="CS36" s="79">
        <f>CR36*0.7</f>
        <v>0</v>
      </c>
      <c r="CT36" s="81">
        <f>CS36+CQ36</f>
        <v>0</v>
      </c>
    </row>
    <row r="37" ht="19.5" customHeight="1">
      <c r="A37" s="68"/>
      <c r="B37" s="69">
        <v>33</v>
      </c>
      <c r="C37" t="s" s="70">
        <v>106</v>
      </c>
      <c r="D37" t="s" s="71">
        <v>107</v>
      </c>
      <c r="E37" s="74"/>
      <c r="F37" s="82"/>
      <c r="G37" s="74"/>
      <c r="H37" s="82"/>
      <c r="I37" s="74"/>
      <c r="J37" s="82"/>
      <c r="K37" s="75"/>
      <c r="L37" s="76"/>
      <c r="M37" s="75"/>
      <c r="N37" s="76"/>
      <c r="O37" s="75"/>
      <c r="P37" s="76"/>
      <c r="Q37" s="75"/>
      <c r="R37" s="76"/>
      <c r="S37" s="18"/>
      <c r="T37" s="76"/>
      <c r="U37" s="75"/>
      <c r="V37" s="76"/>
      <c r="W37" s="75"/>
      <c r="X37" s="75"/>
      <c r="Y37" s="76"/>
      <c r="Z37" s="75"/>
      <c r="AA37" s="76"/>
      <c r="AB37" s="77">
        <f>SUM(T37:AA37)</f>
        <v>0</v>
      </c>
      <c r="AC37" s="18"/>
      <c r="AD37" s="78">
        <v>33</v>
      </c>
      <c r="AE37" s="76"/>
      <c r="AF37" s="75"/>
      <c r="AG37" s="18"/>
      <c r="AH37" s="76"/>
      <c r="AI37" s="75"/>
      <c r="AJ37" s="18"/>
      <c r="AK37" s="76"/>
      <c r="AL37" s="75"/>
      <c r="AM37" s="18"/>
      <c r="AN37" s="76"/>
      <c r="AO37" s="75"/>
      <c r="AP37" s="18"/>
      <c r="AQ37" s="78">
        <v>33</v>
      </c>
      <c r="AR37" s="76"/>
      <c r="AS37" s="75"/>
      <c r="AT37" s="18"/>
      <c r="AU37" s="76"/>
      <c r="AV37" s="75"/>
      <c r="AW37" s="18"/>
      <c r="AX37" s="76"/>
      <c r="AY37" s="75"/>
      <c r="AZ37" s="18"/>
      <c r="BA37" s="76"/>
      <c r="BB37" s="75"/>
      <c r="BC37" s="18"/>
      <c r="BD37" s="78">
        <v>33</v>
      </c>
      <c r="BE37" s="76"/>
      <c r="BF37" s="75"/>
      <c r="BG37" s="18"/>
      <c r="BH37" s="76"/>
      <c r="BI37" s="75"/>
      <c r="BJ37" s="18"/>
      <c r="BK37" s="76"/>
      <c r="BL37" s="75"/>
      <c r="BM37" s="18"/>
      <c r="BN37" s="76"/>
      <c r="BO37" s="75"/>
      <c r="BP37" s="18"/>
      <c r="BQ37" s="78">
        <v>33</v>
      </c>
      <c r="BR37" s="76"/>
      <c r="BS37" s="75"/>
      <c r="BT37" s="18"/>
      <c r="BU37" s="76"/>
      <c r="BV37" s="75"/>
      <c r="BW37" s="18"/>
      <c r="BX37" s="76"/>
      <c r="BY37" s="75"/>
      <c r="BZ37" s="18"/>
      <c r="CA37" s="76"/>
      <c r="CB37" s="75"/>
      <c r="CC37" s="18"/>
      <c r="CD37" s="78">
        <v>33</v>
      </c>
      <c r="CE37" s="79">
        <f>(AE37+AH37+AK37+AN37)/4</f>
        <v>0</v>
      </c>
      <c r="CF37" s="79">
        <f>(AR37+AU37+AX37+BA37)/4</f>
        <v>0</v>
      </c>
      <c r="CG37" s="79">
        <f>(BE37+BH37+BK37+BN37)/4</f>
        <v>0</v>
      </c>
      <c r="CH37" s="79">
        <f>(BR37+BU37+BX37+CA37)/4</f>
        <v>0</v>
      </c>
      <c r="CI37" s="18"/>
      <c r="CJ37" s="80">
        <f>SUM(CE37:CH37)/4</f>
        <v>0</v>
      </c>
      <c r="CK37" s="18"/>
      <c r="CL37" s="79">
        <f>CJ37*0.5</f>
        <v>0</v>
      </c>
      <c r="CM37" s="75"/>
      <c r="CN37" s="79">
        <f>CM37*0.5</f>
        <v>0</v>
      </c>
      <c r="CO37" s="81">
        <f>CN37+CL37</f>
        <v>0</v>
      </c>
      <c r="CP37" s="18"/>
      <c r="CQ37" s="79">
        <f>CJ37*0.3</f>
        <v>0</v>
      </c>
      <c r="CR37" s="75"/>
      <c r="CS37" s="79">
        <f>CR37*0.7</f>
        <v>0</v>
      </c>
      <c r="CT37" s="81">
        <f>CS37+CQ37</f>
        <v>0</v>
      </c>
    </row>
    <row r="38" ht="19.5" customHeight="1">
      <c r="A38" s="68"/>
      <c r="B38" s="69">
        <v>34</v>
      </c>
      <c r="C38" t="s" s="70">
        <v>108</v>
      </c>
      <c r="D38" t="s" s="71">
        <v>109</v>
      </c>
      <c r="E38" s="74"/>
      <c r="F38" s="82"/>
      <c r="G38" s="74"/>
      <c r="H38" s="82"/>
      <c r="I38" s="74"/>
      <c r="J38" s="82"/>
      <c r="K38" s="75"/>
      <c r="L38" s="76"/>
      <c r="M38" s="75"/>
      <c r="N38" s="76"/>
      <c r="O38" s="75"/>
      <c r="P38" s="76"/>
      <c r="Q38" s="75"/>
      <c r="R38" s="76"/>
      <c r="S38" s="18"/>
      <c r="T38" s="76"/>
      <c r="U38" s="75"/>
      <c r="V38" s="76"/>
      <c r="W38" s="75"/>
      <c r="X38" s="75"/>
      <c r="Y38" s="76"/>
      <c r="Z38" s="75"/>
      <c r="AA38" s="76"/>
      <c r="AB38" s="77">
        <f>SUM(T38:AA38)</f>
        <v>0</v>
      </c>
      <c r="AC38" s="18"/>
      <c r="AD38" s="78">
        <v>34</v>
      </c>
      <c r="AE38" s="76"/>
      <c r="AF38" s="75"/>
      <c r="AG38" s="18"/>
      <c r="AH38" s="76"/>
      <c r="AI38" s="75"/>
      <c r="AJ38" s="18"/>
      <c r="AK38" s="76"/>
      <c r="AL38" s="75"/>
      <c r="AM38" s="18"/>
      <c r="AN38" s="76"/>
      <c r="AO38" s="75"/>
      <c r="AP38" s="18"/>
      <c r="AQ38" s="78">
        <v>34</v>
      </c>
      <c r="AR38" s="76"/>
      <c r="AS38" s="75"/>
      <c r="AT38" s="18"/>
      <c r="AU38" s="76"/>
      <c r="AV38" s="75"/>
      <c r="AW38" s="18"/>
      <c r="AX38" s="76"/>
      <c r="AY38" s="75"/>
      <c r="AZ38" s="18"/>
      <c r="BA38" s="76"/>
      <c r="BB38" s="75"/>
      <c r="BC38" s="18"/>
      <c r="BD38" s="78">
        <v>34</v>
      </c>
      <c r="BE38" s="76"/>
      <c r="BF38" s="75"/>
      <c r="BG38" s="18"/>
      <c r="BH38" s="76"/>
      <c r="BI38" s="75"/>
      <c r="BJ38" s="18"/>
      <c r="BK38" s="76"/>
      <c r="BL38" s="75"/>
      <c r="BM38" s="18"/>
      <c r="BN38" s="76"/>
      <c r="BO38" s="75"/>
      <c r="BP38" s="18"/>
      <c r="BQ38" s="78">
        <v>34</v>
      </c>
      <c r="BR38" s="76"/>
      <c r="BS38" s="75"/>
      <c r="BT38" s="18"/>
      <c r="BU38" s="76"/>
      <c r="BV38" s="75"/>
      <c r="BW38" s="18"/>
      <c r="BX38" s="76"/>
      <c r="BY38" s="75"/>
      <c r="BZ38" s="18"/>
      <c r="CA38" s="76"/>
      <c r="CB38" s="75"/>
      <c r="CC38" s="18"/>
      <c r="CD38" s="78">
        <v>34</v>
      </c>
      <c r="CE38" s="79">
        <f>(AE38+AH38+AK38+AN38)/4</f>
        <v>0</v>
      </c>
      <c r="CF38" s="79">
        <f>(AR38+AU38+AX38+BA38)/4</f>
        <v>0</v>
      </c>
      <c r="CG38" s="79">
        <f>(BE38+BH38+BK38+BN38)/4</f>
        <v>0</v>
      </c>
      <c r="CH38" s="79">
        <f>(BR38+BU38+BX38+CA38)/4</f>
        <v>0</v>
      </c>
      <c r="CI38" s="18"/>
      <c r="CJ38" s="80">
        <f>SUM(CE38:CH38)/4</f>
        <v>0</v>
      </c>
      <c r="CK38" s="18"/>
      <c r="CL38" s="79">
        <f>CJ38*0.5</f>
        <v>0</v>
      </c>
      <c r="CM38" s="75"/>
      <c r="CN38" s="79">
        <f>CM38*0.5</f>
        <v>0</v>
      </c>
      <c r="CO38" s="81">
        <f>CN38+CL38</f>
        <v>0</v>
      </c>
      <c r="CP38" s="18"/>
      <c r="CQ38" s="79">
        <f>CJ38*0.3</f>
        <v>0</v>
      </c>
      <c r="CR38" s="75"/>
      <c r="CS38" s="79">
        <f>CR38*0.7</f>
        <v>0</v>
      </c>
      <c r="CT38" s="81">
        <f>CS38+CQ38</f>
        <v>0</v>
      </c>
    </row>
    <row r="39" ht="19.5" customHeight="1">
      <c r="A39" s="68"/>
      <c r="B39" s="69">
        <v>35</v>
      </c>
      <c r="C39" t="s" s="70">
        <v>110</v>
      </c>
      <c r="D39" t="s" s="71">
        <v>111</v>
      </c>
      <c r="E39" s="74"/>
      <c r="F39" s="82"/>
      <c r="G39" s="74"/>
      <c r="H39" s="82"/>
      <c r="I39" s="74"/>
      <c r="J39" s="82"/>
      <c r="K39" s="75"/>
      <c r="L39" s="76"/>
      <c r="M39" s="75"/>
      <c r="N39" s="76"/>
      <c r="O39" s="75"/>
      <c r="P39" s="76"/>
      <c r="Q39" s="75"/>
      <c r="R39" s="76"/>
      <c r="S39" s="18"/>
      <c r="T39" s="76"/>
      <c r="U39" s="75"/>
      <c r="V39" s="76"/>
      <c r="W39" s="75"/>
      <c r="X39" s="75"/>
      <c r="Y39" s="76"/>
      <c r="Z39" s="75"/>
      <c r="AA39" s="76"/>
      <c r="AB39" s="77">
        <f>SUM(T39:AA39)</f>
        <v>0</v>
      </c>
      <c r="AC39" s="18"/>
      <c r="AD39" s="78">
        <v>35</v>
      </c>
      <c r="AE39" s="76"/>
      <c r="AF39" s="75"/>
      <c r="AG39" s="18"/>
      <c r="AH39" s="76"/>
      <c r="AI39" s="75"/>
      <c r="AJ39" s="18"/>
      <c r="AK39" s="76"/>
      <c r="AL39" s="75"/>
      <c r="AM39" s="18"/>
      <c r="AN39" s="76"/>
      <c r="AO39" s="75"/>
      <c r="AP39" s="18"/>
      <c r="AQ39" s="78">
        <v>35</v>
      </c>
      <c r="AR39" s="76"/>
      <c r="AS39" s="75"/>
      <c r="AT39" s="18"/>
      <c r="AU39" s="76"/>
      <c r="AV39" s="75"/>
      <c r="AW39" s="18"/>
      <c r="AX39" s="76"/>
      <c r="AY39" s="75"/>
      <c r="AZ39" s="18"/>
      <c r="BA39" s="76"/>
      <c r="BB39" s="75"/>
      <c r="BC39" s="18"/>
      <c r="BD39" s="78">
        <v>35</v>
      </c>
      <c r="BE39" s="76"/>
      <c r="BF39" s="75"/>
      <c r="BG39" s="18"/>
      <c r="BH39" s="76"/>
      <c r="BI39" s="75"/>
      <c r="BJ39" s="18"/>
      <c r="BK39" s="76"/>
      <c r="BL39" s="75"/>
      <c r="BM39" s="18"/>
      <c r="BN39" s="76"/>
      <c r="BO39" s="75"/>
      <c r="BP39" s="18"/>
      <c r="BQ39" s="78">
        <v>35</v>
      </c>
      <c r="BR39" s="76"/>
      <c r="BS39" s="75"/>
      <c r="BT39" s="18"/>
      <c r="BU39" s="76"/>
      <c r="BV39" s="75"/>
      <c r="BW39" s="18"/>
      <c r="BX39" s="76"/>
      <c r="BY39" s="75"/>
      <c r="BZ39" s="18"/>
      <c r="CA39" s="76"/>
      <c r="CB39" s="75"/>
      <c r="CC39" s="18"/>
      <c r="CD39" s="78">
        <v>35</v>
      </c>
      <c r="CE39" s="79">
        <f>(AE39+AH39+AK39+AN39)/4</f>
        <v>0</v>
      </c>
      <c r="CF39" s="79">
        <f>(AR39+AU39+AX39+BA39)/4</f>
        <v>0</v>
      </c>
      <c r="CG39" s="79">
        <f>(BE39+BH39+BK39+BN39)/4</f>
        <v>0</v>
      </c>
      <c r="CH39" s="79">
        <f>(BR39+BU39+BX39+CA39)/4</f>
        <v>0</v>
      </c>
      <c r="CI39" s="18"/>
      <c r="CJ39" s="80">
        <f>SUM(CE39:CH39)/4</f>
        <v>0</v>
      </c>
      <c r="CK39" s="18"/>
      <c r="CL39" s="79">
        <f>CJ39*0.5</f>
        <v>0</v>
      </c>
      <c r="CM39" s="75"/>
      <c r="CN39" s="79">
        <f>CM39*0.5</f>
        <v>0</v>
      </c>
      <c r="CO39" s="81">
        <f>CN39+CL39</f>
        <v>0</v>
      </c>
      <c r="CP39" s="18"/>
      <c r="CQ39" s="79">
        <f>CJ39*0.3</f>
        <v>0</v>
      </c>
      <c r="CR39" s="75"/>
      <c r="CS39" s="79">
        <f>CR39*0.7</f>
        <v>0</v>
      </c>
      <c r="CT39" s="81">
        <f>CS39+CQ39</f>
        <v>0</v>
      </c>
    </row>
    <row r="40" ht="19.5" customHeight="1">
      <c r="A40" s="68"/>
      <c r="B40" s="69">
        <v>36</v>
      </c>
      <c r="C40" t="s" s="70">
        <v>112</v>
      </c>
      <c r="D40" t="s" s="71">
        <v>67</v>
      </c>
      <c r="E40" s="74"/>
      <c r="F40" s="82"/>
      <c r="G40" s="74"/>
      <c r="H40" s="82"/>
      <c r="I40" s="74"/>
      <c r="J40" s="82"/>
      <c r="K40" s="75"/>
      <c r="L40" s="76"/>
      <c r="M40" s="75"/>
      <c r="N40" s="76"/>
      <c r="O40" s="75"/>
      <c r="P40" s="76"/>
      <c r="Q40" s="75"/>
      <c r="R40" s="76"/>
      <c r="S40" s="18"/>
      <c r="T40" s="76"/>
      <c r="U40" s="75"/>
      <c r="V40" s="76"/>
      <c r="W40" s="75"/>
      <c r="X40" s="75"/>
      <c r="Y40" s="76"/>
      <c r="Z40" s="75"/>
      <c r="AA40" s="76"/>
      <c r="AB40" s="77">
        <f>SUM(T40:AA40)</f>
        <v>0</v>
      </c>
      <c r="AC40" s="18"/>
      <c r="AD40" s="78">
        <v>36</v>
      </c>
      <c r="AE40" s="76"/>
      <c r="AF40" s="75"/>
      <c r="AG40" s="18"/>
      <c r="AH40" s="76"/>
      <c r="AI40" s="75"/>
      <c r="AJ40" s="18"/>
      <c r="AK40" s="76"/>
      <c r="AL40" s="75"/>
      <c r="AM40" s="18"/>
      <c r="AN40" s="76"/>
      <c r="AO40" s="75"/>
      <c r="AP40" s="18"/>
      <c r="AQ40" s="78">
        <v>36</v>
      </c>
      <c r="AR40" s="76"/>
      <c r="AS40" s="75"/>
      <c r="AT40" s="18"/>
      <c r="AU40" s="76"/>
      <c r="AV40" s="75"/>
      <c r="AW40" s="18"/>
      <c r="AX40" s="76"/>
      <c r="AY40" s="75"/>
      <c r="AZ40" s="18"/>
      <c r="BA40" s="76"/>
      <c r="BB40" s="75"/>
      <c r="BC40" s="18"/>
      <c r="BD40" s="78">
        <v>36</v>
      </c>
      <c r="BE40" s="76"/>
      <c r="BF40" s="75"/>
      <c r="BG40" s="18"/>
      <c r="BH40" s="76"/>
      <c r="BI40" s="75"/>
      <c r="BJ40" s="18"/>
      <c r="BK40" s="76"/>
      <c r="BL40" s="75"/>
      <c r="BM40" s="18"/>
      <c r="BN40" s="76"/>
      <c r="BO40" s="75"/>
      <c r="BP40" s="18"/>
      <c r="BQ40" s="78">
        <v>36</v>
      </c>
      <c r="BR40" s="76"/>
      <c r="BS40" s="75"/>
      <c r="BT40" s="18"/>
      <c r="BU40" s="76"/>
      <c r="BV40" s="75"/>
      <c r="BW40" s="18"/>
      <c r="BX40" s="76"/>
      <c r="BY40" s="75"/>
      <c r="BZ40" s="18"/>
      <c r="CA40" s="76"/>
      <c r="CB40" s="75"/>
      <c r="CC40" s="18"/>
      <c r="CD40" s="78">
        <v>36</v>
      </c>
      <c r="CE40" s="79">
        <f>(AE40+AH40+AK40+AN40)/4</f>
        <v>0</v>
      </c>
      <c r="CF40" s="79">
        <f>(AR40+AU40+AX40+BA40)/4</f>
        <v>0</v>
      </c>
      <c r="CG40" s="79">
        <f>(BE40+BH40+BK40+BN40)/4</f>
        <v>0</v>
      </c>
      <c r="CH40" s="79">
        <f>(BR40+BU40+BX40+CA40)/4</f>
        <v>0</v>
      </c>
      <c r="CI40" s="18"/>
      <c r="CJ40" s="80">
        <f>SUM(CE40:CH40)/4</f>
        <v>0</v>
      </c>
      <c r="CK40" s="18"/>
      <c r="CL40" s="79">
        <f>CJ40*0.5</f>
        <v>0</v>
      </c>
      <c r="CM40" s="75"/>
      <c r="CN40" s="79">
        <f>CM40*0.5</f>
        <v>0</v>
      </c>
      <c r="CO40" s="81">
        <f>CN40+CL40</f>
        <v>0</v>
      </c>
      <c r="CP40" s="18"/>
      <c r="CQ40" s="79">
        <f>CJ40*0.3</f>
        <v>0</v>
      </c>
      <c r="CR40" s="75"/>
      <c r="CS40" s="79">
        <f>CR40*0.7</f>
        <v>0</v>
      </c>
      <c r="CT40" s="81">
        <f>CS40+CQ40</f>
        <v>0</v>
      </c>
    </row>
    <row r="41" ht="19.5" customHeight="1">
      <c r="A41" s="68"/>
      <c r="B41" s="69">
        <v>37</v>
      </c>
      <c r="C41" t="s" s="70">
        <v>113</v>
      </c>
      <c r="D41" t="s" s="71">
        <v>114</v>
      </c>
      <c r="E41" s="74"/>
      <c r="F41" s="82"/>
      <c r="G41" s="74"/>
      <c r="H41" s="82"/>
      <c r="I41" s="74"/>
      <c r="J41" s="82"/>
      <c r="K41" s="75"/>
      <c r="L41" s="76"/>
      <c r="M41" s="75"/>
      <c r="N41" s="76"/>
      <c r="O41" s="75"/>
      <c r="P41" s="76"/>
      <c r="Q41" s="75"/>
      <c r="R41" s="76"/>
      <c r="S41" s="18"/>
      <c r="T41" s="76"/>
      <c r="U41" s="75"/>
      <c r="V41" s="76"/>
      <c r="W41" s="75"/>
      <c r="X41" s="75"/>
      <c r="Y41" s="76"/>
      <c r="Z41" s="75"/>
      <c r="AA41" s="76"/>
      <c r="AB41" s="77">
        <f>SUM(T41:AA41)</f>
        <v>0</v>
      </c>
      <c r="AC41" s="18"/>
      <c r="AD41" s="78">
        <v>37</v>
      </c>
      <c r="AE41" s="76"/>
      <c r="AF41" s="75"/>
      <c r="AG41" s="18"/>
      <c r="AH41" s="76"/>
      <c r="AI41" s="75"/>
      <c r="AJ41" s="18"/>
      <c r="AK41" s="76"/>
      <c r="AL41" s="75"/>
      <c r="AM41" s="18"/>
      <c r="AN41" s="76"/>
      <c r="AO41" s="75"/>
      <c r="AP41" s="18"/>
      <c r="AQ41" s="78">
        <v>37</v>
      </c>
      <c r="AR41" s="76"/>
      <c r="AS41" s="75"/>
      <c r="AT41" s="18"/>
      <c r="AU41" s="76"/>
      <c r="AV41" s="75"/>
      <c r="AW41" s="18"/>
      <c r="AX41" s="76"/>
      <c r="AY41" s="75"/>
      <c r="AZ41" s="18"/>
      <c r="BA41" s="76"/>
      <c r="BB41" s="75"/>
      <c r="BC41" s="18"/>
      <c r="BD41" s="78">
        <v>37</v>
      </c>
      <c r="BE41" s="76"/>
      <c r="BF41" s="75"/>
      <c r="BG41" s="18"/>
      <c r="BH41" s="76"/>
      <c r="BI41" s="75"/>
      <c r="BJ41" s="18"/>
      <c r="BK41" s="76"/>
      <c r="BL41" s="75"/>
      <c r="BM41" s="18"/>
      <c r="BN41" s="76"/>
      <c r="BO41" s="75"/>
      <c r="BP41" s="18"/>
      <c r="BQ41" s="78">
        <v>37</v>
      </c>
      <c r="BR41" s="76"/>
      <c r="BS41" s="75"/>
      <c r="BT41" s="18"/>
      <c r="BU41" s="76"/>
      <c r="BV41" s="75"/>
      <c r="BW41" s="18"/>
      <c r="BX41" s="76"/>
      <c r="BY41" s="75"/>
      <c r="BZ41" s="18"/>
      <c r="CA41" s="76"/>
      <c r="CB41" s="75"/>
      <c r="CC41" s="18"/>
      <c r="CD41" s="78">
        <v>37</v>
      </c>
      <c r="CE41" s="79">
        <f>(AE41+AH41+AK41+AN41)/4</f>
        <v>0</v>
      </c>
      <c r="CF41" s="79">
        <f>(AR41+AU41+AX41+BA41)/4</f>
        <v>0</v>
      </c>
      <c r="CG41" s="79">
        <f>(BE41+BH41+BK41+BN41)/4</f>
        <v>0</v>
      </c>
      <c r="CH41" s="79">
        <f>(BR41+BU41+BX41+CA41)/4</f>
        <v>0</v>
      </c>
      <c r="CI41" s="18"/>
      <c r="CJ41" s="80">
        <f>SUM(CE41:CH41)/4</f>
        <v>0</v>
      </c>
      <c r="CK41" s="18"/>
      <c r="CL41" s="79">
        <f>CJ41*0.5</f>
        <v>0</v>
      </c>
      <c r="CM41" s="75"/>
      <c r="CN41" s="79">
        <f>CM41*0.5</f>
        <v>0</v>
      </c>
      <c r="CO41" s="81">
        <f>CN41+CL41</f>
        <v>0</v>
      </c>
      <c r="CP41" s="18"/>
      <c r="CQ41" s="79">
        <f>CJ41*0.3</f>
        <v>0</v>
      </c>
      <c r="CR41" s="75"/>
      <c r="CS41" s="79">
        <f>CR41*0.7</f>
        <v>0</v>
      </c>
      <c r="CT41" s="81">
        <f>CS41+CQ41</f>
        <v>0</v>
      </c>
    </row>
    <row r="42" ht="19.5" customHeight="1">
      <c r="A42" s="68"/>
      <c r="B42" s="69">
        <v>38</v>
      </c>
      <c r="C42" t="s" s="70">
        <v>115</v>
      </c>
      <c r="D42" t="s" s="71">
        <v>116</v>
      </c>
      <c r="E42" s="74"/>
      <c r="F42" s="82"/>
      <c r="G42" s="74"/>
      <c r="H42" s="82"/>
      <c r="I42" s="74"/>
      <c r="J42" s="82"/>
      <c r="K42" s="75"/>
      <c r="L42" s="76"/>
      <c r="M42" s="75"/>
      <c r="N42" s="76"/>
      <c r="O42" s="75"/>
      <c r="P42" s="76"/>
      <c r="Q42" s="75"/>
      <c r="R42" s="76"/>
      <c r="S42" s="18"/>
      <c r="T42" s="76"/>
      <c r="U42" s="75"/>
      <c r="V42" s="76"/>
      <c r="W42" s="75"/>
      <c r="X42" s="75"/>
      <c r="Y42" s="76"/>
      <c r="Z42" s="75"/>
      <c r="AA42" s="76"/>
      <c r="AB42" s="77">
        <f>SUM(T42:AA42)</f>
        <v>0</v>
      </c>
      <c r="AC42" s="18"/>
      <c r="AD42" s="78">
        <v>38</v>
      </c>
      <c r="AE42" s="76"/>
      <c r="AF42" s="75"/>
      <c r="AG42" s="18"/>
      <c r="AH42" s="76"/>
      <c r="AI42" s="75"/>
      <c r="AJ42" s="18"/>
      <c r="AK42" s="76"/>
      <c r="AL42" s="75"/>
      <c r="AM42" s="18"/>
      <c r="AN42" s="76"/>
      <c r="AO42" s="75"/>
      <c r="AP42" s="18"/>
      <c r="AQ42" s="78">
        <v>38</v>
      </c>
      <c r="AR42" s="76"/>
      <c r="AS42" s="75"/>
      <c r="AT42" s="18"/>
      <c r="AU42" s="76"/>
      <c r="AV42" s="75"/>
      <c r="AW42" s="18"/>
      <c r="AX42" s="76"/>
      <c r="AY42" s="75"/>
      <c r="AZ42" s="18"/>
      <c r="BA42" s="76"/>
      <c r="BB42" s="75"/>
      <c r="BC42" s="18"/>
      <c r="BD42" s="78">
        <v>38</v>
      </c>
      <c r="BE42" s="76"/>
      <c r="BF42" s="75"/>
      <c r="BG42" s="18"/>
      <c r="BH42" s="76"/>
      <c r="BI42" s="75"/>
      <c r="BJ42" s="18"/>
      <c r="BK42" s="76"/>
      <c r="BL42" s="75"/>
      <c r="BM42" s="18"/>
      <c r="BN42" s="76"/>
      <c r="BO42" s="75"/>
      <c r="BP42" s="18"/>
      <c r="BQ42" s="78">
        <v>38</v>
      </c>
      <c r="BR42" s="76"/>
      <c r="BS42" s="75"/>
      <c r="BT42" s="18"/>
      <c r="BU42" s="76"/>
      <c r="BV42" s="75"/>
      <c r="BW42" s="18"/>
      <c r="BX42" s="76"/>
      <c r="BY42" s="75"/>
      <c r="BZ42" s="18"/>
      <c r="CA42" s="76"/>
      <c r="CB42" s="75"/>
      <c r="CC42" s="18"/>
      <c r="CD42" s="78">
        <v>38</v>
      </c>
      <c r="CE42" s="79">
        <f>(AE42+AH42+AK42+AN42)/4</f>
        <v>0</v>
      </c>
      <c r="CF42" s="79">
        <f>(AR42+AU42+AX42+BA42)/4</f>
        <v>0</v>
      </c>
      <c r="CG42" s="79">
        <f>(BE42+BH42+BK42+BN42)/4</f>
        <v>0</v>
      </c>
      <c r="CH42" s="79">
        <f>(BR42+BU42+BX42+CA42)/4</f>
        <v>0</v>
      </c>
      <c r="CI42" s="18"/>
      <c r="CJ42" s="80">
        <f>SUM(CE42:CH42)/4</f>
        <v>0</v>
      </c>
      <c r="CK42" s="18"/>
      <c r="CL42" s="79">
        <f>CJ42*0.5</f>
        <v>0</v>
      </c>
      <c r="CM42" s="75"/>
      <c r="CN42" s="79">
        <f>CM42*0.5</f>
        <v>0</v>
      </c>
      <c r="CO42" s="81">
        <f>CN42+CL42</f>
        <v>0</v>
      </c>
      <c r="CP42" s="18"/>
      <c r="CQ42" s="79">
        <f>CJ42*0.3</f>
        <v>0</v>
      </c>
      <c r="CR42" s="75"/>
      <c r="CS42" s="79">
        <f>CR42*0.7</f>
        <v>0</v>
      </c>
      <c r="CT42" s="81">
        <f>CS42+CQ42</f>
        <v>0</v>
      </c>
    </row>
    <row r="43" ht="19.5" customHeight="1">
      <c r="A43" s="68"/>
      <c r="B43" s="69">
        <v>39</v>
      </c>
      <c r="C43" t="s" s="83">
        <v>117</v>
      </c>
      <c r="D43" t="s" s="70">
        <v>118</v>
      </c>
      <c r="E43" s="74"/>
      <c r="F43" s="82"/>
      <c r="G43" s="74"/>
      <c r="H43" s="82"/>
      <c r="I43" s="74"/>
      <c r="J43" s="82"/>
      <c r="K43" s="75"/>
      <c r="L43" s="76"/>
      <c r="M43" s="75"/>
      <c r="N43" s="76"/>
      <c r="O43" s="75"/>
      <c r="P43" s="76"/>
      <c r="Q43" s="75"/>
      <c r="R43" s="76"/>
      <c r="S43" s="18"/>
      <c r="T43" s="76"/>
      <c r="U43" s="75"/>
      <c r="V43" s="76"/>
      <c r="W43" s="75"/>
      <c r="X43" s="75"/>
      <c r="Y43" s="76"/>
      <c r="Z43" s="75"/>
      <c r="AA43" s="76"/>
      <c r="AB43" s="77">
        <f>SUM(T43:AA43)</f>
        <v>0</v>
      </c>
      <c r="AC43" s="18"/>
      <c r="AD43" s="78">
        <v>39</v>
      </c>
      <c r="AE43" s="76"/>
      <c r="AF43" s="75"/>
      <c r="AG43" s="18"/>
      <c r="AH43" s="76"/>
      <c r="AI43" s="75"/>
      <c r="AJ43" s="18"/>
      <c r="AK43" s="76"/>
      <c r="AL43" s="75"/>
      <c r="AM43" s="18"/>
      <c r="AN43" s="76"/>
      <c r="AO43" s="75"/>
      <c r="AP43" s="18"/>
      <c r="AQ43" s="78">
        <v>39</v>
      </c>
      <c r="AR43" s="76"/>
      <c r="AS43" s="75"/>
      <c r="AT43" s="18"/>
      <c r="AU43" s="76"/>
      <c r="AV43" s="75"/>
      <c r="AW43" s="18"/>
      <c r="AX43" s="76"/>
      <c r="AY43" s="75"/>
      <c r="AZ43" s="18"/>
      <c r="BA43" s="76"/>
      <c r="BB43" s="75"/>
      <c r="BC43" s="18"/>
      <c r="BD43" s="78">
        <v>39</v>
      </c>
      <c r="BE43" s="76"/>
      <c r="BF43" s="75"/>
      <c r="BG43" s="18"/>
      <c r="BH43" s="76"/>
      <c r="BI43" s="75"/>
      <c r="BJ43" s="18"/>
      <c r="BK43" s="76"/>
      <c r="BL43" s="75"/>
      <c r="BM43" s="18"/>
      <c r="BN43" s="76"/>
      <c r="BO43" s="75"/>
      <c r="BP43" s="18"/>
      <c r="BQ43" s="78">
        <v>39</v>
      </c>
      <c r="BR43" s="76"/>
      <c r="BS43" s="75"/>
      <c r="BT43" s="18"/>
      <c r="BU43" s="76"/>
      <c r="BV43" s="75"/>
      <c r="BW43" s="18"/>
      <c r="BX43" s="76"/>
      <c r="BY43" s="75"/>
      <c r="BZ43" s="18"/>
      <c r="CA43" s="76"/>
      <c r="CB43" s="75"/>
      <c r="CC43" s="18"/>
      <c r="CD43" s="78">
        <v>39</v>
      </c>
      <c r="CE43" s="79">
        <f>(AE43+AH43+AK43+AN43)/4</f>
        <v>0</v>
      </c>
      <c r="CF43" s="79">
        <f>(AR43+AU43+AX43+BA43)/4</f>
        <v>0</v>
      </c>
      <c r="CG43" s="79">
        <f>(BE43+BH43+BK43+BN43)/4</f>
        <v>0</v>
      </c>
      <c r="CH43" s="79">
        <f>(BR43+BU43+BX43+CA43)/4</f>
        <v>0</v>
      </c>
      <c r="CI43" s="18"/>
      <c r="CJ43" s="80">
        <f>SUM(CE43:CH43)/4</f>
        <v>0</v>
      </c>
      <c r="CK43" s="18"/>
      <c r="CL43" s="79">
        <f>CJ43*0.5</f>
        <v>0</v>
      </c>
      <c r="CM43" s="75"/>
      <c r="CN43" s="79">
        <f>CM43*0.5</f>
        <v>0</v>
      </c>
      <c r="CO43" s="81">
        <f>CN43+CL43</f>
        <v>0</v>
      </c>
      <c r="CP43" s="18"/>
      <c r="CQ43" s="79">
        <f>CJ43*0.3</f>
        <v>0</v>
      </c>
      <c r="CR43" s="75"/>
      <c r="CS43" s="79">
        <f>CR43*0.7</f>
        <v>0</v>
      </c>
      <c r="CT43" s="81">
        <f>CS43+CQ43</f>
        <v>0</v>
      </c>
    </row>
    <row r="44" ht="19.5" customHeight="1">
      <c r="A44" s="68"/>
      <c r="B44" s="69">
        <v>40</v>
      </c>
      <c r="C44" t="s" s="70">
        <v>119</v>
      </c>
      <c r="D44" t="s" s="71">
        <v>120</v>
      </c>
      <c r="E44" s="74"/>
      <c r="F44" s="82"/>
      <c r="G44" s="74"/>
      <c r="H44" s="82"/>
      <c r="I44" s="74"/>
      <c r="J44" s="82"/>
      <c r="K44" s="75"/>
      <c r="L44" s="76"/>
      <c r="M44" s="75"/>
      <c r="N44" s="76"/>
      <c r="O44" s="75"/>
      <c r="P44" s="76"/>
      <c r="Q44" s="75"/>
      <c r="R44" s="76"/>
      <c r="S44" s="18"/>
      <c r="T44" s="76"/>
      <c r="U44" s="75"/>
      <c r="V44" s="76"/>
      <c r="W44" s="75"/>
      <c r="X44" s="75"/>
      <c r="Y44" s="76"/>
      <c r="Z44" s="75"/>
      <c r="AA44" s="76"/>
      <c r="AB44" s="77">
        <f>SUM(T44:AA44)</f>
        <v>0</v>
      </c>
      <c r="AC44" s="18"/>
      <c r="AD44" s="78">
        <v>40</v>
      </c>
      <c r="AE44" s="76"/>
      <c r="AF44" s="75"/>
      <c r="AG44" s="18"/>
      <c r="AH44" s="76"/>
      <c r="AI44" s="75"/>
      <c r="AJ44" s="18"/>
      <c r="AK44" s="76"/>
      <c r="AL44" s="75"/>
      <c r="AM44" s="18"/>
      <c r="AN44" s="76"/>
      <c r="AO44" s="75"/>
      <c r="AP44" s="18"/>
      <c r="AQ44" s="78">
        <v>40</v>
      </c>
      <c r="AR44" s="76"/>
      <c r="AS44" s="75"/>
      <c r="AT44" s="18"/>
      <c r="AU44" s="76"/>
      <c r="AV44" s="75"/>
      <c r="AW44" s="18"/>
      <c r="AX44" s="76"/>
      <c r="AY44" s="75"/>
      <c r="AZ44" s="18"/>
      <c r="BA44" s="76"/>
      <c r="BB44" s="75"/>
      <c r="BC44" s="18"/>
      <c r="BD44" s="78">
        <v>40</v>
      </c>
      <c r="BE44" s="76"/>
      <c r="BF44" s="75"/>
      <c r="BG44" s="18"/>
      <c r="BH44" s="76"/>
      <c r="BI44" s="75"/>
      <c r="BJ44" s="18"/>
      <c r="BK44" s="76"/>
      <c r="BL44" s="75"/>
      <c r="BM44" s="18"/>
      <c r="BN44" s="76"/>
      <c r="BO44" s="75"/>
      <c r="BP44" s="18"/>
      <c r="BQ44" s="78">
        <v>40</v>
      </c>
      <c r="BR44" s="76"/>
      <c r="BS44" s="75"/>
      <c r="BT44" s="18"/>
      <c r="BU44" s="76"/>
      <c r="BV44" s="75"/>
      <c r="BW44" s="18"/>
      <c r="BX44" s="76"/>
      <c r="BY44" s="75"/>
      <c r="BZ44" s="18"/>
      <c r="CA44" s="76"/>
      <c r="CB44" s="75"/>
      <c r="CC44" s="18"/>
      <c r="CD44" s="78">
        <v>40</v>
      </c>
      <c r="CE44" s="79">
        <f>(AE44+AH44+AK44+AN44)/4</f>
        <v>0</v>
      </c>
      <c r="CF44" s="79">
        <f>(AR44+AU44+AX44+BA44)/4</f>
        <v>0</v>
      </c>
      <c r="CG44" s="79">
        <f>(BE44+BH44+BK44+BN44)/4</f>
        <v>0</v>
      </c>
      <c r="CH44" s="79">
        <f>(BR44+BU44+BX44+CA44)/4</f>
        <v>0</v>
      </c>
      <c r="CI44" s="18"/>
      <c r="CJ44" s="80">
        <f>SUM(CE44:CH44)/4</f>
        <v>0</v>
      </c>
      <c r="CK44" s="18"/>
      <c r="CL44" s="79">
        <f>CJ44*0.5</f>
        <v>0</v>
      </c>
      <c r="CM44" s="75"/>
      <c r="CN44" s="79">
        <f>CM44*0.5</f>
        <v>0</v>
      </c>
      <c r="CO44" s="81">
        <f>CN44+CL44</f>
        <v>0</v>
      </c>
      <c r="CP44" s="18"/>
      <c r="CQ44" s="79">
        <f>CJ44*0.3</f>
        <v>0</v>
      </c>
      <c r="CR44" s="75"/>
      <c r="CS44" s="79">
        <f>CR44*0.7</f>
        <v>0</v>
      </c>
      <c r="CT44" s="81">
        <f>CS44+CQ44</f>
        <v>0</v>
      </c>
    </row>
    <row r="45" ht="19.5" customHeight="1">
      <c r="A45" s="68"/>
      <c r="B45" s="69">
        <v>41</v>
      </c>
      <c r="C45" t="s" s="70">
        <v>121</v>
      </c>
      <c r="D45" t="s" s="71">
        <v>122</v>
      </c>
      <c r="E45" s="74"/>
      <c r="F45" s="82"/>
      <c r="G45" s="74"/>
      <c r="H45" s="82"/>
      <c r="I45" s="74"/>
      <c r="J45" s="82"/>
      <c r="K45" s="75"/>
      <c r="L45" s="76"/>
      <c r="M45" s="75"/>
      <c r="N45" s="76"/>
      <c r="O45" s="75"/>
      <c r="P45" s="76"/>
      <c r="Q45" s="75"/>
      <c r="R45" s="76"/>
      <c r="S45" s="18"/>
      <c r="T45" s="76"/>
      <c r="U45" s="75"/>
      <c r="V45" s="76"/>
      <c r="W45" s="75"/>
      <c r="X45" s="75"/>
      <c r="Y45" s="76"/>
      <c r="Z45" s="75"/>
      <c r="AA45" s="76"/>
      <c r="AB45" s="77">
        <f>SUM(T45:AA45)</f>
        <v>0</v>
      </c>
      <c r="AC45" s="18"/>
      <c r="AD45" s="78">
        <v>41</v>
      </c>
      <c r="AE45" s="76"/>
      <c r="AF45" s="75"/>
      <c r="AG45" s="18"/>
      <c r="AH45" s="76"/>
      <c r="AI45" s="75"/>
      <c r="AJ45" s="18"/>
      <c r="AK45" s="76"/>
      <c r="AL45" s="75"/>
      <c r="AM45" s="18"/>
      <c r="AN45" s="76"/>
      <c r="AO45" s="75"/>
      <c r="AP45" s="18"/>
      <c r="AQ45" s="78">
        <v>41</v>
      </c>
      <c r="AR45" s="76"/>
      <c r="AS45" s="75"/>
      <c r="AT45" s="18"/>
      <c r="AU45" s="76"/>
      <c r="AV45" s="75"/>
      <c r="AW45" s="18"/>
      <c r="AX45" s="76"/>
      <c r="AY45" s="75"/>
      <c r="AZ45" s="18"/>
      <c r="BA45" s="76"/>
      <c r="BB45" s="75"/>
      <c r="BC45" s="18"/>
      <c r="BD45" s="78">
        <v>41</v>
      </c>
      <c r="BE45" s="76"/>
      <c r="BF45" s="75"/>
      <c r="BG45" s="18"/>
      <c r="BH45" s="76"/>
      <c r="BI45" s="75"/>
      <c r="BJ45" s="18"/>
      <c r="BK45" s="76"/>
      <c r="BL45" s="75"/>
      <c r="BM45" s="18"/>
      <c r="BN45" s="76"/>
      <c r="BO45" s="75"/>
      <c r="BP45" s="18"/>
      <c r="BQ45" s="78">
        <v>41</v>
      </c>
      <c r="BR45" s="76"/>
      <c r="BS45" s="75"/>
      <c r="BT45" s="18"/>
      <c r="BU45" s="76"/>
      <c r="BV45" s="75"/>
      <c r="BW45" s="18"/>
      <c r="BX45" s="76"/>
      <c r="BY45" s="75"/>
      <c r="BZ45" s="18"/>
      <c r="CA45" s="76"/>
      <c r="CB45" s="75"/>
      <c r="CC45" s="18"/>
      <c r="CD45" s="78">
        <v>41</v>
      </c>
      <c r="CE45" s="79">
        <f>(AE45+AH45+AK45+AN45)/4</f>
        <v>0</v>
      </c>
      <c r="CF45" s="79">
        <f>(AR45+AU45+AX45+BA45)/4</f>
        <v>0</v>
      </c>
      <c r="CG45" s="79">
        <f>(BE45+BH45+BK45+BN45)/4</f>
        <v>0</v>
      </c>
      <c r="CH45" s="79">
        <f>(BR45+BU45+BX45+CA45)/4</f>
        <v>0</v>
      </c>
      <c r="CI45" s="18"/>
      <c r="CJ45" s="80">
        <f>SUM(CE45:CH45)/4</f>
        <v>0</v>
      </c>
      <c r="CK45" s="18"/>
      <c r="CL45" s="79">
        <f>CJ45*0.5</f>
        <v>0</v>
      </c>
      <c r="CM45" s="75"/>
      <c r="CN45" s="79">
        <f>CM45*0.5</f>
        <v>0</v>
      </c>
      <c r="CO45" s="81">
        <f>CN45+CL45</f>
        <v>0</v>
      </c>
      <c r="CP45" s="18"/>
      <c r="CQ45" s="79">
        <f>CJ45*0.3</f>
        <v>0</v>
      </c>
      <c r="CR45" s="75"/>
      <c r="CS45" s="79">
        <f>CR45*0.7</f>
        <v>0</v>
      </c>
      <c r="CT45" s="81">
        <f>CS45+CQ45</f>
        <v>0</v>
      </c>
    </row>
    <row r="46" ht="19.5" customHeight="1">
      <c r="A46" s="68"/>
      <c r="B46" s="69">
        <v>42</v>
      </c>
      <c r="C46" t="s" s="70">
        <v>123</v>
      </c>
      <c r="D46" t="s" s="71">
        <v>124</v>
      </c>
      <c r="E46" s="74"/>
      <c r="F46" s="82"/>
      <c r="G46" s="74"/>
      <c r="H46" s="82"/>
      <c r="I46" s="74"/>
      <c r="J46" s="82"/>
      <c r="K46" s="75"/>
      <c r="L46" s="76"/>
      <c r="M46" s="75"/>
      <c r="N46" s="76"/>
      <c r="O46" s="75"/>
      <c r="P46" s="76"/>
      <c r="Q46" s="75"/>
      <c r="R46" s="76"/>
      <c r="S46" s="18"/>
      <c r="T46" s="76"/>
      <c r="U46" s="75"/>
      <c r="V46" s="76"/>
      <c r="W46" s="75"/>
      <c r="X46" s="75"/>
      <c r="Y46" s="76"/>
      <c r="Z46" s="75"/>
      <c r="AA46" s="76"/>
      <c r="AB46" s="77">
        <f>SUM(T46:AA46)</f>
        <v>0</v>
      </c>
      <c r="AC46" s="18"/>
      <c r="AD46" s="78">
        <v>42</v>
      </c>
      <c r="AE46" s="76"/>
      <c r="AF46" s="75"/>
      <c r="AG46" s="18"/>
      <c r="AH46" s="76"/>
      <c r="AI46" s="75"/>
      <c r="AJ46" s="18"/>
      <c r="AK46" s="76"/>
      <c r="AL46" s="75"/>
      <c r="AM46" s="18"/>
      <c r="AN46" s="76"/>
      <c r="AO46" s="75"/>
      <c r="AP46" s="18"/>
      <c r="AQ46" s="78">
        <v>42</v>
      </c>
      <c r="AR46" s="76"/>
      <c r="AS46" s="75"/>
      <c r="AT46" s="18"/>
      <c r="AU46" s="76"/>
      <c r="AV46" s="75"/>
      <c r="AW46" s="18"/>
      <c r="AX46" s="76"/>
      <c r="AY46" s="75"/>
      <c r="AZ46" s="18"/>
      <c r="BA46" s="76"/>
      <c r="BB46" s="75"/>
      <c r="BC46" s="18"/>
      <c r="BD46" s="78">
        <v>42</v>
      </c>
      <c r="BE46" s="76"/>
      <c r="BF46" s="75"/>
      <c r="BG46" s="18"/>
      <c r="BH46" s="76"/>
      <c r="BI46" s="75"/>
      <c r="BJ46" s="18"/>
      <c r="BK46" s="76"/>
      <c r="BL46" s="75"/>
      <c r="BM46" s="18"/>
      <c r="BN46" s="76"/>
      <c r="BO46" s="75"/>
      <c r="BP46" s="18"/>
      <c r="BQ46" s="78">
        <v>42</v>
      </c>
      <c r="BR46" s="76"/>
      <c r="BS46" s="75"/>
      <c r="BT46" s="18"/>
      <c r="BU46" s="76"/>
      <c r="BV46" s="75"/>
      <c r="BW46" s="18"/>
      <c r="BX46" s="76"/>
      <c r="BY46" s="75"/>
      <c r="BZ46" s="18"/>
      <c r="CA46" s="76"/>
      <c r="CB46" s="75"/>
      <c r="CC46" s="18"/>
      <c r="CD46" s="78">
        <v>42</v>
      </c>
      <c r="CE46" s="79">
        <f>(AE46+AH46+AK46+AN46)/4</f>
        <v>0</v>
      </c>
      <c r="CF46" s="79">
        <f>(AR46+AU46+AX46+BA46)/4</f>
        <v>0</v>
      </c>
      <c r="CG46" s="79">
        <f>(BE46+BH46+BK46+BN46)/4</f>
        <v>0</v>
      </c>
      <c r="CH46" s="79">
        <f>(BR46+BU46+BX46+CA46)/4</f>
        <v>0</v>
      </c>
      <c r="CI46" s="18"/>
      <c r="CJ46" s="80">
        <f>SUM(CE46:CH46)/4</f>
        <v>0</v>
      </c>
      <c r="CK46" s="18"/>
      <c r="CL46" s="79">
        <f>CJ46*0.5</f>
        <v>0</v>
      </c>
      <c r="CM46" s="75"/>
      <c r="CN46" s="79">
        <f>CM46*0.5</f>
        <v>0</v>
      </c>
      <c r="CO46" s="81">
        <f>CN46+CL46</f>
        <v>0</v>
      </c>
      <c r="CP46" s="18"/>
      <c r="CQ46" s="79">
        <f>CJ46*0.3</f>
        <v>0</v>
      </c>
      <c r="CR46" s="75"/>
      <c r="CS46" s="79">
        <f>CR46*0.7</f>
        <v>0</v>
      </c>
      <c r="CT46" s="81">
        <f>CS46+CQ46</f>
        <v>0</v>
      </c>
    </row>
    <row r="47" ht="24" customHeight="1">
      <c r="A47" s="84"/>
      <c r="B47" s="69">
        <v>43</v>
      </c>
      <c r="C47" t="s" s="70">
        <v>125</v>
      </c>
      <c r="D47" t="s" s="71">
        <v>126</v>
      </c>
      <c r="E47" s="74"/>
      <c r="F47" s="82"/>
      <c r="G47" s="74"/>
      <c r="H47" s="82"/>
      <c r="I47" s="74"/>
      <c r="J47" s="82"/>
      <c r="K47" s="75"/>
      <c r="L47" s="76"/>
      <c r="M47" s="75"/>
      <c r="N47" s="76"/>
      <c r="O47" s="75"/>
      <c r="P47" s="76"/>
      <c r="Q47" s="75"/>
      <c r="R47" s="76"/>
      <c r="S47" s="18"/>
      <c r="T47" s="76"/>
      <c r="U47" s="75"/>
      <c r="V47" s="76"/>
      <c r="W47" s="75"/>
      <c r="X47" s="75"/>
      <c r="Y47" s="76"/>
      <c r="Z47" s="75"/>
      <c r="AA47" s="76"/>
      <c r="AB47" s="77">
        <f>SUM(T47:AA47)</f>
        <v>0</v>
      </c>
      <c r="AC47" s="18"/>
      <c r="AD47" s="78">
        <v>43</v>
      </c>
      <c r="AE47" s="76"/>
      <c r="AF47" s="75"/>
      <c r="AG47" s="18"/>
      <c r="AH47" s="76"/>
      <c r="AI47" s="75"/>
      <c r="AJ47" s="18"/>
      <c r="AK47" s="76"/>
      <c r="AL47" s="75"/>
      <c r="AM47" s="18"/>
      <c r="AN47" s="76"/>
      <c r="AO47" s="75"/>
      <c r="AP47" s="18"/>
      <c r="AQ47" s="78">
        <v>43</v>
      </c>
      <c r="AR47" s="76"/>
      <c r="AS47" s="75"/>
      <c r="AT47" s="18"/>
      <c r="AU47" s="76"/>
      <c r="AV47" s="75"/>
      <c r="AW47" s="18"/>
      <c r="AX47" s="76"/>
      <c r="AY47" s="75"/>
      <c r="AZ47" s="18"/>
      <c r="BA47" s="76"/>
      <c r="BB47" s="75"/>
      <c r="BC47" s="18"/>
      <c r="BD47" s="78">
        <v>43</v>
      </c>
      <c r="BE47" s="76"/>
      <c r="BF47" s="75"/>
      <c r="BG47" s="18"/>
      <c r="BH47" s="76"/>
      <c r="BI47" s="75"/>
      <c r="BJ47" s="18"/>
      <c r="BK47" s="76"/>
      <c r="BL47" s="75"/>
      <c r="BM47" s="18"/>
      <c r="BN47" s="76"/>
      <c r="BO47" s="75"/>
      <c r="BP47" s="18"/>
      <c r="BQ47" s="78">
        <v>43</v>
      </c>
      <c r="BR47" s="76"/>
      <c r="BS47" s="75"/>
      <c r="BT47" s="18"/>
      <c r="BU47" s="76"/>
      <c r="BV47" s="75"/>
      <c r="BW47" s="18"/>
      <c r="BX47" s="76"/>
      <c r="BY47" s="75"/>
      <c r="BZ47" s="18"/>
      <c r="CA47" s="76"/>
      <c r="CB47" s="75"/>
      <c r="CC47" s="18"/>
      <c r="CD47" s="78">
        <v>43</v>
      </c>
      <c r="CE47" s="79">
        <f>(AE47+AH47+AK47+AN47)/4</f>
        <v>0</v>
      </c>
      <c r="CF47" s="79">
        <f>(AR47+AU47+AX47+BA47)/4</f>
        <v>0</v>
      </c>
      <c r="CG47" s="79">
        <f>(BE47+BH47+BK47+BN47)/4</f>
        <v>0</v>
      </c>
      <c r="CH47" s="79">
        <f>(BR47+BU47+BX47+CA47)/4</f>
        <v>0</v>
      </c>
      <c r="CI47" s="18"/>
      <c r="CJ47" s="80">
        <f>SUM(CE47:CH47)/4</f>
        <v>0</v>
      </c>
      <c r="CK47" s="18"/>
      <c r="CL47" s="79">
        <f>CJ47*0.5</f>
        <v>0</v>
      </c>
      <c r="CM47" s="75"/>
      <c r="CN47" s="79">
        <f>CM47*0.5</f>
        <v>0</v>
      </c>
      <c r="CO47" s="81">
        <f>CN47+CL47</f>
        <v>0</v>
      </c>
      <c r="CP47" s="18"/>
      <c r="CQ47" s="79">
        <f>CJ47*0.3</f>
        <v>0</v>
      </c>
      <c r="CR47" s="75"/>
      <c r="CS47" s="79">
        <f>CR47*0.7</f>
        <v>0</v>
      </c>
      <c r="CT47" s="81">
        <f>CS47+CQ47</f>
        <v>0</v>
      </c>
    </row>
    <row r="48" ht="15" customHeight="1">
      <c r="A48" s="85"/>
      <c r="B48" s="86"/>
      <c r="C48" s="86"/>
      <c r="D48" s="86"/>
      <c r="E48" s="86"/>
      <c r="F48" s="87"/>
      <c r="G48" s="86"/>
      <c r="H48" s="87"/>
      <c r="I48" s="86"/>
      <c r="J48" s="87"/>
      <c r="K48" s="86"/>
      <c r="L48" s="86"/>
      <c r="M48" s="86"/>
      <c r="N48" s="86"/>
      <c r="O48" s="86"/>
      <c r="P48" s="86"/>
      <c r="Q48" s="86"/>
      <c r="R48" s="86"/>
      <c r="S48" s="24"/>
      <c r="T48" s="86"/>
      <c r="U48" s="86"/>
      <c r="V48" s="86"/>
      <c r="W48" s="86"/>
      <c r="X48" s="86"/>
      <c r="Y48" s="86"/>
      <c r="Z48" s="86"/>
      <c r="AA48" s="86"/>
      <c r="AB48" s="86"/>
      <c r="AC48" s="88"/>
      <c r="AD48" s="86"/>
      <c r="AE48" s="86"/>
      <c r="AF48" s="86"/>
      <c r="AG48" s="88"/>
      <c r="AH48" s="86"/>
      <c r="AI48" s="86"/>
      <c r="AJ48" s="88"/>
      <c r="AK48" s="86"/>
      <c r="AL48" s="86"/>
      <c r="AM48" s="88"/>
      <c r="AN48" s="86"/>
      <c r="AO48" s="86"/>
      <c r="AP48" s="88"/>
      <c r="AQ48" s="86"/>
      <c r="AR48" s="86"/>
      <c r="AS48" s="86"/>
      <c r="AT48" s="88"/>
      <c r="AU48" s="86"/>
      <c r="AV48" s="86"/>
      <c r="AW48" s="88"/>
      <c r="AX48" s="86"/>
      <c r="AY48" s="86"/>
      <c r="AZ48" s="88"/>
      <c r="BA48" s="86"/>
      <c r="BB48" s="86"/>
      <c r="BC48" s="88"/>
      <c r="BD48" s="86"/>
      <c r="BE48" s="86"/>
      <c r="BF48" s="86"/>
      <c r="BG48" s="88"/>
      <c r="BH48" s="86"/>
      <c r="BI48" s="86"/>
      <c r="BJ48" s="88"/>
      <c r="BK48" s="86"/>
      <c r="BL48" s="86"/>
      <c r="BM48" s="88"/>
      <c r="BN48" s="86"/>
      <c r="BO48" s="86"/>
      <c r="BP48" s="88"/>
      <c r="BQ48" s="86"/>
      <c r="BR48" s="86"/>
      <c r="BS48" s="86"/>
      <c r="BT48" s="88"/>
      <c r="BU48" s="86"/>
      <c r="BV48" s="86"/>
      <c r="BW48" s="88"/>
      <c r="BX48" s="86"/>
      <c r="BY48" s="86"/>
      <c r="BZ48" s="88"/>
      <c r="CA48" s="86"/>
      <c r="CB48" s="86"/>
      <c r="CC48" s="88"/>
      <c r="CD48" s="86"/>
      <c r="CE48" s="86"/>
      <c r="CF48" s="86"/>
      <c r="CG48" s="86"/>
      <c r="CH48" s="86"/>
      <c r="CI48" s="88"/>
      <c r="CJ48" s="86"/>
      <c r="CK48" s="88"/>
      <c r="CL48" s="86"/>
      <c r="CM48" s="86"/>
      <c r="CN48" s="86"/>
      <c r="CO48" s="86"/>
      <c r="CP48" s="88"/>
      <c r="CQ48" s="86"/>
      <c r="CR48" s="86"/>
      <c r="CS48" s="86"/>
      <c r="CT48" s="89"/>
    </row>
  </sheetData>
  <mergeCells count="22">
    <mergeCell ref="CR3:CR4"/>
    <mergeCell ref="CS3:CS4"/>
    <mergeCell ref="CT3:CT4"/>
    <mergeCell ref="CL2:CO2"/>
    <mergeCell ref="CQ2:CT2"/>
    <mergeCell ref="CM3:CM4"/>
    <mergeCell ref="CN3:CN4"/>
    <mergeCell ref="CO3:CO4"/>
    <mergeCell ref="CQ3:CQ4"/>
    <mergeCell ref="CJ3:CJ4"/>
    <mergeCell ref="CL3:CL4"/>
    <mergeCell ref="AE3:AO3"/>
    <mergeCell ref="AR3:BB3"/>
    <mergeCell ref="BE3:BO3"/>
    <mergeCell ref="BR3:CB3"/>
    <mergeCell ref="CE3:CE4"/>
    <mergeCell ref="E1:R1"/>
    <mergeCell ref="T2:AB2"/>
    <mergeCell ref="CE2:CH2"/>
    <mergeCell ref="CF3:CF4"/>
    <mergeCell ref="CG3:CG4"/>
    <mergeCell ref="CH3:CH4"/>
  </mergeCells>
  <pageMargins left="0.25" right="0.25"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sheetPr>
    <pageSetUpPr fitToPage="1"/>
  </sheetPr>
  <dimension ref="A1:DL48"/>
  <sheetViews>
    <sheetView workbookViewId="0" showGridLines="0" defaultGridColor="1"/>
  </sheetViews>
  <sheetFormatPr defaultColWidth="10.8333" defaultRowHeight="15" customHeight="1" outlineLevelRow="0" outlineLevelCol="0"/>
  <cols>
    <col min="1" max="1" width="9.5" style="90" customWidth="1"/>
    <col min="2" max="2" width="4" style="90" customWidth="1"/>
    <col min="3" max="3" width="25.6719" style="90" customWidth="1"/>
    <col min="4" max="4" width="18.8516" style="90" customWidth="1"/>
    <col min="5" max="10" width="3" style="90" customWidth="1"/>
    <col min="11" max="13" width="5.26562" style="90" customWidth="1"/>
    <col min="14" max="23" width="5.6875" style="90" customWidth="1"/>
    <col min="24" max="33" width="5.26562" style="90" customWidth="1"/>
    <col min="34" max="34" width="3" style="90" customWidth="1"/>
    <col min="35" max="35" width="6.54688" style="90" customWidth="1"/>
    <col min="36" max="37" width="9.38281" style="90" customWidth="1"/>
    <col min="38" max="38" width="5.17188" style="90" customWidth="1"/>
    <col min="39" max="39" width="7.39844" style="90" customWidth="1"/>
    <col min="40" max="40" width="5.17188" style="90" customWidth="1"/>
    <col min="41" max="41" width="6.35156" style="90" customWidth="1"/>
    <col min="42" max="42" width="6.67188" style="90" customWidth="1"/>
    <col min="43" max="43" width="7.375" style="90" customWidth="1"/>
    <col min="44" max="44" width="7.85156" style="90" customWidth="1"/>
    <col min="45" max="46" width="5.17188" style="90" customWidth="1"/>
    <col min="47" max="47" width="22.0312" style="90" customWidth="1"/>
    <col min="48" max="48" width="3.5" style="90" customWidth="1"/>
    <col min="49" max="49" width="5.67188" style="90" customWidth="1"/>
    <col min="50" max="50" width="5.5" style="90" customWidth="1"/>
    <col min="51" max="51" width="1.5" style="90" customWidth="1"/>
    <col min="52" max="53" width="5.35156" style="90" customWidth="1"/>
    <col min="54" max="54" width="1.5" style="90" customWidth="1"/>
    <col min="55" max="56" width="5.17188" style="90" customWidth="1"/>
    <col min="57" max="57" width="1.5" style="90" customWidth="1"/>
    <col min="58" max="60" width="4.5" style="90" customWidth="1"/>
    <col min="61" max="61" width="5" style="90" customWidth="1"/>
    <col min="62" max="62" width="5.67188" style="90" customWidth="1"/>
    <col min="63" max="63" width="5.5" style="90" customWidth="1"/>
    <col min="64" max="64" width="1.5" style="90" customWidth="1"/>
    <col min="65" max="66" width="5.35156" style="90" customWidth="1"/>
    <col min="67" max="67" width="1.5" style="90" customWidth="1"/>
    <col min="68" max="69" width="5.17188" style="90" customWidth="1"/>
    <col min="70" max="70" width="1.5" style="90" customWidth="1"/>
    <col min="71" max="74" width="4.5" style="90" customWidth="1"/>
    <col min="75" max="75" width="5.67188" style="90" customWidth="1"/>
    <col min="76" max="76" width="5.5" style="90" customWidth="1"/>
    <col min="77" max="77" width="1.5" style="90" customWidth="1"/>
    <col min="78" max="79" width="5.35156" style="90" customWidth="1"/>
    <col min="80" max="80" width="1.5" style="90" customWidth="1"/>
    <col min="81" max="82" width="5.17188" style="90" customWidth="1"/>
    <col min="83" max="83" width="1.5" style="90" customWidth="1"/>
    <col min="84" max="86" width="4.5" style="90" customWidth="1"/>
    <col min="87" max="87" width="4" style="90" customWidth="1"/>
    <col min="88" max="88" width="5.67188" style="90" customWidth="1"/>
    <col min="89" max="89" width="5.5" style="90" customWidth="1"/>
    <col min="90" max="90" width="1.5" style="90" customWidth="1"/>
    <col min="91" max="92" width="5.35156" style="90" customWidth="1"/>
    <col min="93" max="93" width="1.5" style="90" customWidth="1"/>
    <col min="94" max="95" width="5.17188" style="90" customWidth="1"/>
    <col min="96" max="96" width="1.5" style="90" customWidth="1"/>
    <col min="97" max="99" width="4.5" style="90" customWidth="1"/>
    <col min="100" max="100" width="4" style="90" customWidth="1"/>
    <col min="101" max="104" width="6.5" style="90" customWidth="1"/>
    <col min="105" max="105" width="5.17188" style="90" customWidth="1"/>
    <col min="106" max="106" width="5.67188" style="90" customWidth="1"/>
    <col min="107" max="107" width="2.5" style="90" customWidth="1"/>
    <col min="108" max="111" width="5.17188" style="90" customWidth="1"/>
    <col min="112" max="112" width="2.85156" style="90" customWidth="1"/>
    <col min="113" max="116" width="4.67188" style="90" customWidth="1"/>
    <col min="117" max="16384" width="10.8516" style="90" customWidth="1"/>
  </cols>
  <sheetData>
    <row r="1" ht="18" customHeight="1">
      <c r="A1" s="7"/>
      <c r="B1" s="8">
        <v>41</v>
      </c>
      <c r="C1" s="7"/>
      <c r="D1" s="7"/>
      <c r="E1" t="s" s="9">
        <v>6</v>
      </c>
      <c r="F1" s="10"/>
      <c r="G1" s="10"/>
      <c r="H1" s="10"/>
      <c r="I1" s="10"/>
      <c r="J1" s="10"/>
      <c r="K1" s="12"/>
      <c r="L1" s="12"/>
      <c r="M1" s="12"/>
      <c r="N1" s="12"/>
      <c r="O1" s="12"/>
      <c r="P1" s="12"/>
      <c r="Q1" s="12"/>
      <c r="R1" s="12"/>
      <c r="S1" s="12"/>
      <c r="T1" s="12"/>
      <c r="U1" s="12"/>
      <c r="V1" s="12"/>
      <c r="W1" s="12"/>
      <c r="X1" s="12"/>
      <c r="Y1" s="12"/>
      <c r="Z1" s="13"/>
      <c r="AA1" s="12"/>
      <c r="AB1" s="10"/>
      <c r="AC1" s="10"/>
      <c r="AD1" s="10"/>
      <c r="AE1" s="10"/>
      <c r="AF1" s="10"/>
      <c r="AG1" s="10"/>
      <c r="AH1" s="10"/>
      <c r="AI1" s="10"/>
      <c r="AJ1" s="11"/>
      <c r="AK1" s="11"/>
      <c r="AL1" s="12"/>
      <c r="AM1" s="12"/>
      <c r="AN1" s="12"/>
      <c r="AO1" s="12"/>
      <c r="AP1" s="12"/>
      <c r="AQ1" s="12"/>
      <c r="AR1" s="12"/>
      <c r="AS1" s="12"/>
      <c r="AT1" s="12"/>
      <c r="AU1" s="13"/>
      <c r="AV1" s="13"/>
      <c r="AW1" s="91">
        <v>100</v>
      </c>
      <c r="AX1" s="91">
        <v>12</v>
      </c>
      <c r="AY1" s="13"/>
      <c r="AZ1" s="13"/>
      <c r="BA1" t="s" s="92">
        <v>128</v>
      </c>
      <c r="BB1" s="91">
        <v>4</v>
      </c>
      <c r="BC1" s="13"/>
      <c r="BD1" t="s" s="92">
        <v>129</v>
      </c>
      <c r="BE1" s="91">
        <v>2</v>
      </c>
      <c r="BF1" s="13"/>
      <c r="BG1" t="s" s="92">
        <v>130</v>
      </c>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2"/>
      <c r="CX1" s="12"/>
      <c r="CY1" s="12"/>
      <c r="CZ1" s="12"/>
      <c r="DA1" s="13"/>
      <c r="DB1" s="13"/>
      <c r="DC1" s="13"/>
      <c r="DD1" s="12"/>
      <c r="DE1" s="12"/>
      <c r="DF1" s="12"/>
      <c r="DG1" s="12"/>
      <c r="DH1" s="13"/>
      <c r="DI1" s="12"/>
      <c r="DJ1" s="12"/>
      <c r="DK1" s="12"/>
      <c r="DL1" s="14"/>
    </row>
    <row r="2" ht="26.25" customHeight="1">
      <c r="A2" s="7"/>
      <c r="B2" s="15"/>
      <c r="C2" s="7"/>
      <c r="D2" s="93"/>
      <c r="E2" s="79">
        <v>1</v>
      </c>
      <c r="F2" s="79">
        <v>2</v>
      </c>
      <c r="G2" s="79">
        <v>3</v>
      </c>
      <c r="H2" s="79">
        <v>4</v>
      </c>
      <c r="I2" s="79">
        <v>5</v>
      </c>
      <c r="J2" s="79">
        <v>6</v>
      </c>
      <c r="K2" s="75"/>
      <c r="L2" s="75"/>
      <c r="M2" s="75"/>
      <c r="N2" s="75"/>
      <c r="O2" s="75"/>
      <c r="P2" s="75"/>
      <c r="Q2" s="75"/>
      <c r="R2" s="75"/>
      <c r="S2" s="75"/>
      <c r="T2" s="75"/>
      <c r="U2" s="75"/>
      <c r="V2" s="75"/>
      <c r="W2" s="75"/>
      <c r="X2" s="75"/>
      <c r="Y2" s="75"/>
      <c r="Z2" s="18"/>
      <c r="AA2" s="75"/>
      <c r="AB2" s="79">
        <v>7</v>
      </c>
      <c r="AC2" s="79">
        <v>8</v>
      </c>
      <c r="AD2" s="79">
        <v>9</v>
      </c>
      <c r="AE2" s="79">
        <v>10</v>
      </c>
      <c r="AF2" s="79">
        <v>11</v>
      </c>
      <c r="AG2" s="79">
        <v>12</v>
      </c>
      <c r="AH2" s="79">
        <v>13</v>
      </c>
      <c r="AI2" s="79">
        <v>14</v>
      </c>
      <c r="AJ2" s="18"/>
      <c r="AK2" s="18"/>
      <c r="AL2" t="s" s="19">
        <v>7</v>
      </c>
      <c r="AM2" s="20"/>
      <c r="AN2" s="20"/>
      <c r="AO2" s="20"/>
      <c r="AP2" s="20"/>
      <c r="AQ2" s="20"/>
      <c r="AR2" s="20"/>
      <c r="AS2" s="20"/>
      <c r="AT2" s="21"/>
      <c r="AU2" s="22"/>
      <c r="AV2" s="23"/>
      <c r="AW2" t="s" s="94">
        <v>131</v>
      </c>
      <c r="AX2" s="95">
        <v>2</v>
      </c>
      <c r="AY2" s="24"/>
      <c r="AZ2" s="24"/>
      <c r="BA2" t="s" s="94">
        <v>132</v>
      </c>
      <c r="BB2" s="95">
        <v>7</v>
      </c>
      <c r="BC2" s="24"/>
      <c r="BD2" t="s" s="94">
        <v>133</v>
      </c>
      <c r="BE2" s="95">
        <v>4</v>
      </c>
      <c r="BF2" s="24"/>
      <c r="BG2" s="24"/>
      <c r="BH2" s="23"/>
      <c r="BI2" s="23"/>
      <c r="BJ2" s="24"/>
      <c r="BK2" s="24"/>
      <c r="BL2" s="24"/>
      <c r="BM2" s="24"/>
      <c r="BN2" s="24"/>
      <c r="BO2" s="24"/>
      <c r="BP2" s="24"/>
      <c r="BQ2" s="24"/>
      <c r="BR2" s="24"/>
      <c r="BS2" s="24"/>
      <c r="BT2" s="24"/>
      <c r="BU2" s="23"/>
      <c r="BV2" s="23"/>
      <c r="BW2" s="24"/>
      <c r="BX2" s="24"/>
      <c r="BY2" s="24"/>
      <c r="BZ2" s="24"/>
      <c r="CA2" s="24"/>
      <c r="CB2" s="24"/>
      <c r="CC2" s="24"/>
      <c r="CD2" s="24"/>
      <c r="CE2" s="24"/>
      <c r="CF2" s="24"/>
      <c r="CG2" s="24"/>
      <c r="CH2" s="23"/>
      <c r="CI2" s="23"/>
      <c r="CJ2" s="24"/>
      <c r="CK2" s="24"/>
      <c r="CL2" s="24"/>
      <c r="CM2" s="24"/>
      <c r="CN2" s="24"/>
      <c r="CO2" s="24"/>
      <c r="CP2" s="24"/>
      <c r="CQ2" s="24"/>
      <c r="CR2" s="24"/>
      <c r="CS2" s="24"/>
      <c r="CT2" s="24"/>
      <c r="CU2" s="23"/>
      <c r="CV2" s="25"/>
      <c r="CW2" t="s" s="26">
        <v>8</v>
      </c>
      <c r="CX2" s="27"/>
      <c r="CY2" s="27"/>
      <c r="CZ2" s="27"/>
      <c r="DA2" s="28"/>
      <c r="DB2" s="24"/>
      <c r="DC2" s="25"/>
      <c r="DD2" t="s" s="29">
        <v>9</v>
      </c>
      <c r="DE2" s="30"/>
      <c r="DF2" s="30"/>
      <c r="DG2" s="30"/>
      <c r="DH2" s="18"/>
      <c r="DI2" t="s" s="29">
        <v>10</v>
      </c>
      <c r="DJ2" s="30"/>
      <c r="DK2" s="30"/>
      <c r="DL2" s="30"/>
    </row>
    <row r="3" ht="57.75" customHeight="1">
      <c r="A3" s="31">
        <v>1</v>
      </c>
      <c r="B3" s="32"/>
      <c r="C3" t="s" s="96">
        <v>134</v>
      </c>
      <c r="D3" s="97"/>
      <c r="E3" s="35"/>
      <c r="F3" s="98">
        <v>45870</v>
      </c>
      <c r="G3" s="35"/>
      <c r="H3" s="99">
        <v>45965</v>
      </c>
      <c r="I3" s="100">
        <v>45979</v>
      </c>
      <c r="J3" s="98">
        <v>45962</v>
      </c>
      <c r="K3" s="35"/>
      <c r="L3" s="35"/>
      <c r="M3" s="35"/>
      <c r="N3" s="35"/>
      <c r="O3" s="35"/>
      <c r="P3" s="35"/>
      <c r="Q3" s="35"/>
      <c r="R3" s="35"/>
      <c r="S3" s="35"/>
      <c r="T3" s="35"/>
      <c r="U3" s="35"/>
      <c r="V3" s="35"/>
      <c r="W3" t="s" s="36">
        <v>135</v>
      </c>
      <c r="X3" s="35"/>
      <c r="Y3" s="35"/>
      <c r="Z3" s="18"/>
      <c r="AA3" s="35"/>
      <c r="AB3" t="s" s="36">
        <v>136</v>
      </c>
      <c r="AC3" t="s" s="36">
        <v>137</v>
      </c>
      <c r="AD3" t="s" s="36">
        <v>138</v>
      </c>
      <c r="AE3" t="s" s="36">
        <v>139</v>
      </c>
      <c r="AF3" t="s" s="36">
        <v>140</v>
      </c>
      <c r="AG3" t="s" s="36">
        <v>141</v>
      </c>
      <c r="AH3" s="35"/>
      <c r="AI3" s="35"/>
      <c r="AJ3" s="18"/>
      <c r="AK3" s="18"/>
      <c r="AL3" t="s" s="36">
        <v>142</v>
      </c>
      <c r="AM3" t="s" s="36">
        <v>143</v>
      </c>
      <c r="AN3" t="s" s="36">
        <v>144</v>
      </c>
      <c r="AO3" t="s" s="36">
        <v>145</v>
      </c>
      <c r="AP3" t="s" s="36">
        <v>146</v>
      </c>
      <c r="AQ3" t="s" s="36">
        <v>147</v>
      </c>
      <c r="AR3" s="75"/>
      <c r="AS3" s="35"/>
      <c r="AT3" t="s" s="36">
        <v>12</v>
      </c>
      <c r="AU3" s="37"/>
      <c r="AV3" s="25"/>
      <c r="AW3" t="s" s="38">
        <v>13</v>
      </c>
      <c r="AX3" s="39"/>
      <c r="AY3" s="39"/>
      <c r="AZ3" s="39"/>
      <c r="BA3" s="39"/>
      <c r="BB3" s="39"/>
      <c r="BC3" s="39"/>
      <c r="BD3" s="39"/>
      <c r="BE3" s="39"/>
      <c r="BF3" s="39"/>
      <c r="BG3" s="40"/>
      <c r="BH3" s="28"/>
      <c r="BI3" s="25"/>
      <c r="BJ3" t="s" s="41">
        <v>14</v>
      </c>
      <c r="BK3" s="42"/>
      <c r="BL3" s="42"/>
      <c r="BM3" s="42"/>
      <c r="BN3" s="42"/>
      <c r="BO3" s="42"/>
      <c r="BP3" s="42"/>
      <c r="BQ3" s="42"/>
      <c r="BR3" s="42"/>
      <c r="BS3" s="42"/>
      <c r="BT3" s="43"/>
      <c r="BU3" s="44"/>
      <c r="BV3" s="25"/>
      <c r="BW3" t="s" s="45">
        <v>15</v>
      </c>
      <c r="BX3" s="46"/>
      <c r="BY3" s="46"/>
      <c r="BZ3" s="46"/>
      <c r="CA3" s="46"/>
      <c r="CB3" s="46"/>
      <c r="CC3" s="46"/>
      <c r="CD3" s="46"/>
      <c r="CE3" s="46"/>
      <c r="CF3" s="46"/>
      <c r="CG3" s="47"/>
      <c r="CH3" s="44"/>
      <c r="CI3" s="25"/>
      <c r="CJ3" t="s" s="48">
        <v>16</v>
      </c>
      <c r="CK3" s="49"/>
      <c r="CL3" s="49"/>
      <c r="CM3" s="49"/>
      <c r="CN3" s="49"/>
      <c r="CO3" s="49"/>
      <c r="CP3" s="49"/>
      <c r="CQ3" s="49"/>
      <c r="CR3" s="49"/>
      <c r="CS3" s="49"/>
      <c r="CT3" s="50"/>
      <c r="CU3" s="44"/>
      <c r="CV3" s="25"/>
      <c r="CW3" t="s" s="51">
        <v>17</v>
      </c>
      <c r="CX3" t="s" s="51">
        <v>18</v>
      </c>
      <c r="CY3" t="s" s="51">
        <v>19</v>
      </c>
      <c r="CZ3" t="s" s="51">
        <v>20</v>
      </c>
      <c r="DA3" s="18"/>
      <c r="DB3" t="s" s="52">
        <v>21</v>
      </c>
      <c r="DC3" s="18"/>
      <c r="DD3" t="s" s="53">
        <v>22</v>
      </c>
      <c r="DE3" t="s" s="53">
        <v>23</v>
      </c>
      <c r="DF3" t="s" s="53">
        <v>24</v>
      </c>
      <c r="DG3" t="s" s="53">
        <v>25</v>
      </c>
      <c r="DH3" s="18"/>
      <c r="DI3" t="s" s="53">
        <v>26</v>
      </c>
      <c r="DJ3" t="s" s="53">
        <v>27</v>
      </c>
      <c r="DK3" t="s" s="53">
        <v>28</v>
      </c>
      <c r="DL3" t="s" s="53">
        <v>29</v>
      </c>
    </row>
    <row r="4" ht="24.75" customHeight="1">
      <c r="A4" s="31">
        <v>1</v>
      </c>
      <c r="B4" t="s" s="101">
        <v>30</v>
      </c>
      <c r="C4" t="s" s="102">
        <v>31</v>
      </c>
      <c r="D4" t="s" s="54">
        <v>32</v>
      </c>
      <c r="E4" t="s" s="56">
        <v>148</v>
      </c>
      <c r="F4" t="s" s="57">
        <v>149</v>
      </c>
      <c r="G4" s="56"/>
      <c r="H4" t="s" s="57">
        <v>150</v>
      </c>
      <c r="I4" s="56"/>
      <c r="J4" t="s" s="57">
        <v>151</v>
      </c>
      <c r="K4" t="s" s="103">
        <v>152</v>
      </c>
      <c r="L4" s="104">
        <v>46063</v>
      </c>
      <c r="M4" s="58"/>
      <c r="N4" t="s" s="61">
        <v>142</v>
      </c>
      <c r="O4" t="s" s="61">
        <v>153</v>
      </c>
      <c r="P4" t="s" s="61">
        <v>154</v>
      </c>
      <c r="Q4" t="s" s="61">
        <v>155</v>
      </c>
      <c r="R4" t="s" s="61">
        <v>156</v>
      </c>
      <c r="S4" t="s" s="61">
        <v>137</v>
      </c>
      <c r="T4" t="s" s="61">
        <v>138</v>
      </c>
      <c r="U4" t="s" s="83">
        <v>137</v>
      </c>
      <c r="V4" t="s" s="61">
        <v>138</v>
      </c>
      <c r="W4" t="s" s="61">
        <v>157</v>
      </c>
      <c r="X4" t="s" s="61">
        <v>158</v>
      </c>
      <c r="Y4" s="58"/>
      <c r="Z4" s="18"/>
      <c r="AA4" s="58"/>
      <c r="AB4" s="77">
        <v>10</v>
      </c>
      <c r="AC4" s="77">
        <v>10</v>
      </c>
      <c r="AD4" s="77">
        <v>10</v>
      </c>
      <c r="AE4" s="77">
        <v>20</v>
      </c>
      <c r="AF4" s="77">
        <v>20</v>
      </c>
      <c r="AG4" s="77">
        <v>10</v>
      </c>
      <c r="AH4" s="58"/>
      <c r="AI4" s="58"/>
      <c r="AJ4" s="59"/>
      <c r="AK4" s="59"/>
      <c r="AL4" s="77">
        <v>10</v>
      </c>
      <c r="AM4" s="77">
        <v>20</v>
      </c>
      <c r="AN4" s="77">
        <v>20</v>
      </c>
      <c r="AO4" s="77">
        <v>10</v>
      </c>
      <c r="AP4" s="77">
        <v>15</v>
      </c>
      <c r="AQ4" s="77">
        <v>10</v>
      </c>
      <c r="AR4" s="77">
        <v>18</v>
      </c>
      <c r="AS4" s="58"/>
      <c r="AT4" s="77">
        <f>SUM(AL4:AS4)</f>
        <v>103</v>
      </c>
      <c r="AU4" s="28"/>
      <c r="AV4" s="60"/>
      <c r="AW4" t="s" s="61">
        <v>33</v>
      </c>
      <c r="AX4" t="s" s="62">
        <v>34</v>
      </c>
      <c r="AY4" s="63"/>
      <c r="AZ4" t="s" s="61">
        <v>35</v>
      </c>
      <c r="BA4" t="s" s="62">
        <v>36</v>
      </c>
      <c r="BB4" s="63"/>
      <c r="BC4" t="s" s="61">
        <v>37</v>
      </c>
      <c r="BD4" t="s" s="62">
        <v>38</v>
      </c>
      <c r="BE4" s="63"/>
      <c r="BF4" t="s" s="61">
        <v>39</v>
      </c>
      <c r="BG4" t="s" s="62">
        <v>40</v>
      </c>
      <c r="BH4" s="28"/>
      <c r="BI4" s="60"/>
      <c r="BJ4" t="s" s="61">
        <v>33</v>
      </c>
      <c r="BK4" t="s" s="62">
        <v>34</v>
      </c>
      <c r="BL4" s="63"/>
      <c r="BM4" t="s" s="61">
        <v>35</v>
      </c>
      <c r="BN4" t="s" s="62">
        <v>36</v>
      </c>
      <c r="BO4" s="63"/>
      <c r="BP4" t="s" s="61">
        <v>37</v>
      </c>
      <c r="BQ4" t="s" s="62">
        <v>38</v>
      </c>
      <c r="BR4" s="63"/>
      <c r="BS4" t="s" s="61">
        <v>39</v>
      </c>
      <c r="BT4" t="s" s="62">
        <v>40</v>
      </c>
      <c r="BU4" s="28"/>
      <c r="BV4" s="60"/>
      <c r="BW4" t="s" s="61">
        <v>33</v>
      </c>
      <c r="BX4" t="s" s="62">
        <v>34</v>
      </c>
      <c r="BY4" s="63"/>
      <c r="BZ4" t="s" s="61">
        <v>35</v>
      </c>
      <c r="CA4" t="s" s="62">
        <v>36</v>
      </c>
      <c r="CB4" s="63"/>
      <c r="CC4" t="s" s="61">
        <v>37</v>
      </c>
      <c r="CD4" t="s" s="62">
        <v>38</v>
      </c>
      <c r="CE4" s="63"/>
      <c r="CF4" t="s" s="61">
        <v>39</v>
      </c>
      <c r="CG4" t="s" s="62">
        <v>40</v>
      </c>
      <c r="CH4" s="28"/>
      <c r="CI4" s="60"/>
      <c r="CJ4" t="s" s="61">
        <v>33</v>
      </c>
      <c r="CK4" t="s" s="62">
        <v>34</v>
      </c>
      <c r="CL4" s="63"/>
      <c r="CM4" t="s" s="61">
        <v>35</v>
      </c>
      <c r="CN4" t="s" s="62">
        <v>36</v>
      </c>
      <c r="CO4" s="63"/>
      <c r="CP4" t="s" s="61">
        <v>37</v>
      </c>
      <c r="CQ4" t="s" s="62">
        <v>38</v>
      </c>
      <c r="CR4" s="63"/>
      <c r="CS4" t="s" s="61">
        <v>39</v>
      </c>
      <c r="CT4" t="s" s="62">
        <v>40</v>
      </c>
      <c r="CU4" s="64"/>
      <c r="CV4" s="60"/>
      <c r="CW4" s="65"/>
      <c r="CX4" s="65"/>
      <c r="CY4" s="65"/>
      <c r="CZ4" s="65"/>
      <c r="DA4" s="18"/>
      <c r="DB4" s="66"/>
      <c r="DC4" s="18"/>
      <c r="DD4" s="67"/>
      <c r="DE4" s="67"/>
      <c r="DF4" s="67"/>
      <c r="DG4" s="67"/>
      <c r="DH4" s="18"/>
      <c r="DI4" s="67"/>
      <c r="DJ4" s="67"/>
      <c r="DK4" s="67"/>
      <c r="DL4" s="67"/>
    </row>
    <row r="5" ht="24.75" customHeight="1">
      <c r="A5" s="105"/>
      <c r="B5" s="106">
        <v>1</v>
      </c>
      <c r="C5" t="s" s="70">
        <v>159</v>
      </c>
      <c r="D5" t="s" s="71">
        <v>160</v>
      </c>
      <c r="E5" t="s" s="72">
        <v>43</v>
      </c>
      <c r="F5" t="s" s="107">
        <v>161</v>
      </c>
      <c r="G5" t="s" s="72">
        <v>162</v>
      </c>
      <c r="H5" t="s" s="107">
        <v>43</v>
      </c>
      <c r="I5" t="s" s="72">
        <v>43</v>
      </c>
      <c r="J5" t="s" s="107">
        <v>43</v>
      </c>
      <c r="K5" t="s" s="83">
        <v>43</v>
      </c>
      <c r="L5" t="s" s="83">
        <v>43</v>
      </c>
      <c r="M5" t="s" s="83">
        <v>163</v>
      </c>
      <c r="N5" s="79">
        <v>10</v>
      </c>
      <c r="O5" s="79">
        <v>10</v>
      </c>
      <c r="P5" s="79">
        <v>7</v>
      </c>
      <c r="Q5" s="79">
        <v>8</v>
      </c>
      <c r="R5" s="79">
        <v>4</v>
      </c>
      <c r="S5" s="79">
        <v>10</v>
      </c>
      <c r="T5" s="79">
        <v>8</v>
      </c>
      <c r="U5" s="77">
        <v>10</v>
      </c>
      <c r="V5" s="77">
        <v>10</v>
      </c>
      <c r="W5" s="79">
        <v>20</v>
      </c>
      <c r="X5" s="79">
        <v>3</v>
      </c>
      <c r="Y5" s="108">
        <f>N5+O5+P5+Q5+S5+T5+U5+V5+W5+X5+R5</f>
        <v>100</v>
      </c>
      <c r="Z5" s="109"/>
      <c r="AA5" t="s" s="83">
        <v>164</v>
      </c>
      <c r="AB5" s="79">
        <v>10</v>
      </c>
      <c r="AC5" s="110">
        <v>10</v>
      </c>
      <c r="AD5" s="79">
        <v>9</v>
      </c>
      <c r="AE5" s="110">
        <v>15</v>
      </c>
      <c r="AF5" s="79">
        <v>0</v>
      </c>
      <c r="AG5" s="110">
        <v>5</v>
      </c>
      <c r="AH5" s="79">
        <v>23</v>
      </c>
      <c r="AI5" s="111">
        <f>AB5+AC5+AD5+AE5+AF5+AG5+AH5</f>
        <v>72</v>
      </c>
      <c r="AJ5" s="18"/>
      <c r="AK5" s="112">
        <v>1</v>
      </c>
      <c r="AL5" s="110">
        <v>8</v>
      </c>
      <c r="AM5" s="79">
        <v>20</v>
      </c>
      <c r="AN5" s="110">
        <v>20</v>
      </c>
      <c r="AO5" s="79">
        <v>10</v>
      </c>
      <c r="AP5" s="79">
        <v>8</v>
      </c>
      <c r="AQ5" s="110">
        <v>10</v>
      </c>
      <c r="AR5" s="77">
        <v>18</v>
      </c>
      <c r="AS5" s="76"/>
      <c r="AT5" s="77">
        <f>SUM(AL5:AS5)</f>
        <v>94</v>
      </c>
      <c r="AU5" s="112">
        <v>4</v>
      </c>
      <c r="AV5" s="78">
        <v>1</v>
      </c>
      <c r="AW5" s="110">
        <f>AT5+0</f>
        <v>94</v>
      </c>
      <c r="AX5" s="75"/>
      <c r="AY5" s="18"/>
      <c r="AZ5" s="110">
        <f>AI5</f>
        <v>72</v>
      </c>
      <c r="BA5" s="75"/>
      <c r="BB5" s="18"/>
      <c r="BC5" s="110">
        <f>Y5</f>
        <v>100</v>
      </c>
      <c r="BD5" s="75"/>
      <c r="BE5" s="18"/>
      <c r="BF5" s="76"/>
      <c r="BG5" s="75"/>
      <c r="BH5" s="18"/>
      <c r="BI5" s="78">
        <v>1</v>
      </c>
      <c r="BJ5" s="110">
        <f>AT5-1</f>
        <v>93</v>
      </c>
      <c r="BK5" s="75"/>
      <c r="BL5" s="18"/>
      <c r="BM5" s="110">
        <f>AI5-1</f>
        <v>71</v>
      </c>
      <c r="BN5" s="75"/>
      <c r="BO5" s="18"/>
      <c r="BP5" s="110">
        <f>BC5-1</f>
        <v>99</v>
      </c>
      <c r="BQ5" s="75"/>
      <c r="BR5" s="18"/>
      <c r="BS5" s="76"/>
      <c r="BT5" s="75"/>
      <c r="BU5" s="18"/>
      <c r="BV5" s="78">
        <v>1</v>
      </c>
      <c r="BW5" s="110">
        <f>AT5+2</f>
        <v>96</v>
      </c>
      <c r="BX5" s="75"/>
      <c r="BY5" s="18"/>
      <c r="BZ5" s="110">
        <f>AI5+2</f>
        <v>74</v>
      </c>
      <c r="CA5" s="75"/>
      <c r="CB5" s="18"/>
      <c r="CC5" s="110">
        <v>100</v>
      </c>
      <c r="CD5" s="75"/>
      <c r="CE5" s="18"/>
      <c r="CF5" s="76"/>
      <c r="CG5" s="75"/>
      <c r="CH5" s="18"/>
      <c r="CI5" s="78">
        <v>1</v>
      </c>
      <c r="CJ5" s="110">
        <f>AT5+1</f>
        <v>95</v>
      </c>
      <c r="CK5" s="75"/>
      <c r="CL5" s="18"/>
      <c r="CM5" s="110">
        <f>AI5+1</f>
        <v>73</v>
      </c>
      <c r="CN5" s="75"/>
      <c r="CO5" s="18"/>
      <c r="CP5" s="110">
        <v>100</v>
      </c>
      <c r="CQ5" s="75"/>
      <c r="CR5" s="18"/>
      <c r="CS5" s="76"/>
      <c r="CT5" s="75"/>
      <c r="CU5" s="18"/>
      <c r="CV5" s="78">
        <v>1</v>
      </c>
      <c r="CW5" s="79">
        <f>(AW5+AZ5+BC5+BF5)/4</f>
        <v>66.5</v>
      </c>
      <c r="CX5" s="79">
        <f>(BJ5+BM5+BP5+BS5)/4</f>
        <v>65.75</v>
      </c>
      <c r="CY5" s="79">
        <f>(BW5+BZ5+CC5+CF5)/4</f>
        <v>67.5</v>
      </c>
      <c r="CZ5" s="79">
        <f>(CJ5+CM5+CP5+CS5)/4</f>
        <v>67</v>
      </c>
      <c r="DA5" s="18"/>
      <c r="DB5" s="80">
        <f>SUM(CW5:CZ5)/4</f>
        <v>66.6875</v>
      </c>
      <c r="DC5" s="18"/>
      <c r="DD5" s="79">
        <f>DB5*0.5</f>
        <v>33.34375</v>
      </c>
      <c r="DE5" s="75"/>
      <c r="DF5" s="79">
        <f>DE5*0.5</f>
        <v>0</v>
      </c>
      <c r="DG5" s="81">
        <f>DF5+DD5</f>
        <v>33.34375</v>
      </c>
      <c r="DH5" s="18"/>
      <c r="DI5" s="79">
        <f>DB5*0.3</f>
        <v>20.00625</v>
      </c>
      <c r="DJ5" s="75"/>
      <c r="DK5" s="79">
        <f>DJ5*0.7</f>
        <v>0</v>
      </c>
      <c r="DL5" s="81">
        <f>DK5+DI5</f>
        <v>20.00625</v>
      </c>
    </row>
    <row r="6" ht="24.75" customHeight="1">
      <c r="A6" s="105"/>
      <c r="B6" s="106">
        <v>2</v>
      </c>
      <c r="C6" t="s" s="70">
        <v>165</v>
      </c>
      <c r="D6" t="s" s="71">
        <v>166</v>
      </c>
      <c r="E6" t="s" s="72">
        <v>43</v>
      </c>
      <c r="F6" t="s" s="113">
        <v>43</v>
      </c>
      <c r="G6" s="74"/>
      <c r="H6" t="s" s="113">
        <v>43</v>
      </c>
      <c r="I6" t="s" s="72">
        <v>43</v>
      </c>
      <c r="J6" t="s" s="113">
        <v>43</v>
      </c>
      <c r="K6" t="s" s="83">
        <v>43</v>
      </c>
      <c r="L6" t="s" s="83">
        <v>43</v>
      </c>
      <c r="M6" t="s" s="83">
        <v>161</v>
      </c>
      <c r="N6" s="79">
        <v>8</v>
      </c>
      <c r="O6" s="79">
        <v>10</v>
      </c>
      <c r="P6" s="79">
        <v>9</v>
      </c>
      <c r="Q6" s="79">
        <v>9</v>
      </c>
      <c r="R6" s="79">
        <v>3</v>
      </c>
      <c r="S6" s="79">
        <v>10</v>
      </c>
      <c r="T6" s="79">
        <v>10</v>
      </c>
      <c r="U6" s="110">
        <v>10</v>
      </c>
      <c r="V6" s="79">
        <v>9</v>
      </c>
      <c r="W6" s="79">
        <v>15</v>
      </c>
      <c r="X6" s="79">
        <v>5</v>
      </c>
      <c r="Y6" s="108">
        <f>N6+O6+P6+Q6+S6+T6+U6+V6+W6+X6+R6</f>
        <v>98</v>
      </c>
      <c r="Z6" s="75"/>
      <c r="AA6" s="75"/>
      <c r="AB6" s="79">
        <v>10</v>
      </c>
      <c r="AC6" s="110">
        <v>10</v>
      </c>
      <c r="AD6" s="79">
        <v>10</v>
      </c>
      <c r="AE6" s="110">
        <v>17</v>
      </c>
      <c r="AF6" s="79">
        <v>20</v>
      </c>
      <c r="AG6" s="110">
        <v>10</v>
      </c>
      <c r="AH6" s="79">
        <v>23</v>
      </c>
      <c r="AI6" s="111">
        <f>AB6+AC6+AD6+AE6+AF6+AG6+AH6</f>
        <v>100</v>
      </c>
      <c r="AJ6" s="18"/>
      <c r="AK6" s="112">
        <v>2</v>
      </c>
      <c r="AL6" s="110">
        <v>10</v>
      </c>
      <c r="AM6" s="79">
        <v>20</v>
      </c>
      <c r="AN6" s="110">
        <v>20</v>
      </c>
      <c r="AO6" s="79">
        <v>10</v>
      </c>
      <c r="AP6" s="79">
        <v>15</v>
      </c>
      <c r="AQ6" s="110">
        <v>10</v>
      </c>
      <c r="AR6" s="77">
        <v>18</v>
      </c>
      <c r="AS6" s="76"/>
      <c r="AT6" s="77">
        <f>SUM(AL6:AS6)</f>
        <v>103</v>
      </c>
      <c r="AU6" s="112">
        <v>12</v>
      </c>
      <c r="AV6" s="78">
        <v>2</v>
      </c>
      <c r="AW6" s="110">
        <v>100</v>
      </c>
      <c r="AX6" s="75"/>
      <c r="AY6" s="18"/>
      <c r="AZ6" s="110">
        <f>AI6</f>
        <v>100</v>
      </c>
      <c r="BA6" s="75"/>
      <c r="BB6" s="18"/>
      <c r="BC6" s="110">
        <f>Y6</f>
        <v>98</v>
      </c>
      <c r="BD6" s="75"/>
      <c r="BE6" s="18"/>
      <c r="BF6" s="76"/>
      <c r="BG6" s="75"/>
      <c r="BH6" s="18"/>
      <c r="BI6" s="78">
        <v>2</v>
      </c>
      <c r="BJ6" s="110">
        <v>100</v>
      </c>
      <c r="BK6" s="75"/>
      <c r="BL6" s="18"/>
      <c r="BM6" s="110">
        <f>AI6-1</f>
        <v>99</v>
      </c>
      <c r="BN6" s="75"/>
      <c r="BO6" s="18"/>
      <c r="BP6" s="110">
        <v>98</v>
      </c>
      <c r="BQ6" s="75"/>
      <c r="BR6" s="18"/>
      <c r="BS6" s="76"/>
      <c r="BT6" s="75"/>
      <c r="BU6" s="18"/>
      <c r="BV6" s="78">
        <v>2</v>
      </c>
      <c r="BW6" s="110">
        <v>100</v>
      </c>
      <c r="BX6" s="75"/>
      <c r="BY6" s="18"/>
      <c r="BZ6" s="110">
        <v>100</v>
      </c>
      <c r="CA6" s="75"/>
      <c r="CB6" s="18"/>
      <c r="CC6" s="110">
        <f>BC6+2</f>
        <v>100</v>
      </c>
      <c r="CD6" s="75"/>
      <c r="CE6" s="18"/>
      <c r="CF6" s="76"/>
      <c r="CG6" s="75"/>
      <c r="CH6" s="18"/>
      <c r="CI6" s="78">
        <v>2</v>
      </c>
      <c r="CJ6" s="110">
        <v>100</v>
      </c>
      <c r="CK6" s="75"/>
      <c r="CL6" s="18"/>
      <c r="CM6" s="110">
        <v>100</v>
      </c>
      <c r="CN6" s="75"/>
      <c r="CO6" s="18"/>
      <c r="CP6" s="110">
        <f>BC6+1</f>
        <v>99</v>
      </c>
      <c r="CQ6" s="75"/>
      <c r="CR6" s="18"/>
      <c r="CS6" s="76"/>
      <c r="CT6" s="75"/>
      <c r="CU6" s="18"/>
      <c r="CV6" s="78">
        <v>2</v>
      </c>
      <c r="CW6" s="79">
        <f>(AW6+AZ6+BC6+BF6)/4</f>
        <v>74.5</v>
      </c>
      <c r="CX6" s="79">
        <f>(BJ6+BM6+BP6+BS6)/4</f>
        <v>74.25</v>
      </c>
      <c r="CY6" s="79">
        <f>(BW6+BZ6+CC6+CF6)/4</f>
        <v>75</v>
      </c>
      <c r="CZ6" s="79">
        <f>(CJ6+CM6+CP6+CS6)/4</f>
        <v>74.75</v>
      </c>
      <c r="DA6" s="18"/>
      <c r="DB6" s="80">
        <f>SUM(CW6:CZ6)/4</f>
        <v>74.625</v>
      </c>
      <c r="DC6" s="18"/>
      <c r="DD6" s="79">
        <f>DB6*0.5</f>
        <v>37.3125</v>
      </c>
      <c r="DE6" s="75"/>
      <c r="DF6" s="79">
        <f>DE6*0.5</f>
        <v>0</v>
      </c>
      <c r="DG6" s="81">
        <f>DF6+DD6</f>
        <v>37.3125</v>
      </c>
      <c r="DH6" s="18"/>
      <c r="DI6" s="79">
        <f>DB6*0.3</f>
        <v>22.3875</v>
      </c>
      <c r="DJ6" s="75"/>
      <c r="DK6" s="79">
        <f>DJ6*0.7</f>
        <v>0</v>
      </c>
      <c r="DL6" s="81">
        <f>DK6+DI6</f>
        <v>22.3875</v>
      </c>
    </row>
    <row r="7" ht="24.75" customHeight="1">
      <c r="A7" s="105"/>
      <c r="B7" s="106">
        <v>3</v>
      </c>
      <c r="C7" t="s" s="70">
        <v>167</v>
      </c>
      <c r="D7" t="s" s="71">
        <v>168</v>
      </c>
      <c r="E7" t="s" s="72">
        <v>43</v>
      </c>
      <c r="F7" t="s" s="113">
        <v>43</v>
      </c>
      <c r="G7" s="74"/>
      <c r="H7" t="s" s="113">
        <v>43</v>
      </c>
      <c r="I7" t="s" s="72">
        <v>43</v>
      </c>
      <c r="J7" t="s" s="113">
        <v>43</v>
      </c>
      <c r="K7" t="s" s="83">
        <v>161</v>
      </c>
      <c r="L7" t="s" s="83">
        <v>43</v>
      </c>
      <c r="M7" t="s" s="83">
        <v>43</v>
      </c>
      <c r="N7" s="79">
        <v>8</v>
      </c>
      <c r="O7" s="79">
        <v>5</v>
      </c>
      <c r="P7" s="79">
        <v>7</v>
      </c>
      <c r="Q7" s="79">
        <v>8</v>
      </c>
      <c r="R7" s="79">
        <v>3</v>
      </c>
      <c r="S7" s="79">
        <v>10</v>
      </c>
      <c r="T7" s="79">
        <v>10</v>
      </c>
      <c r="U7" s="110">
        <v>10</v>
      </c>
      <c r="V7" s="79">
        <v>10</v>
      </c>
      <c r="W7" s="79">
        <v>20</v>
      </c>
      <c r="X7" s="79">
        <v>3</v>
      </c>
      <c r="Y7" s="108">
        <f>N7+O7+P7+Q7+S7+T7+U7+V7+W7+X7+R7</f>
        <v>94</v>
      </c>
      <c r="Z7" s="75"/>
      <c r="AA7" s="75"/>
      <c r="AB7" s="79">
        <v>10</v>
      </c>
      <c r="AC7" s="110">
        <v>10</v>
      </c>
      <c r="AD7" s="79">
        <v>10</v>
      </c>
      <c r="AE7" s="110">
        <v>16</v>
      </c>
      <c r="AF7" s="79">
        <v>15</v>
      </c>
      <c r="AG7" s="110">
        <v>0</v>
      </c>
      <c r="AH7" s="79">
        <v>23</v>
      </c>
      <c r="AI7" s="111">
        <f>AB7+AC7+AD7+AE7+AF7+AG7+AH7</f>
        <v>84</v>
      </c>
      <c r="AJ7" s="18"/>
      <c r="AK7" s="112">
        <v>3</v>
      </c>
      <c r="AL7" s="110">
        <v>10</v>
      </c>
      <c r="AM7" s="79">
        <v>18</v>
      </c>
      <c r="AN7" s="110">
        <v>20</v>
      </c>
      <c r="AO7" s="79">
        <v>10</v>
      </c>
      <c r="AP7" s="79">
        <v>10</v>
      </c>
      <c r="AQ7" s="110">
        <v>8</v>
      </c>
      <c r="AR7" s="77">
        <v>18</v>
      </c>
      <c r="AS7" s="76"/>
      <c r="AT7" s="77">
        <f>SUM(AL7:AS7)</f>
        <v>94</v>
      </c>
      <c r="AU7" s="18"/>
      <c r="AV7" s="78">
        <v>3</v>
      </c>
      <c r="AW7" s="110">
        <f>AT7+0</f>
        <v>94</v>
      </c>
      <c r="AX7" s="75"/>
      <c r="AY7" s="18"/>
      <c r="AZ7" s="110">
        <f>AI7</f>
        <v>84</v>
      </c>
      <c r="BA7" s="75"/>
      <c r="BB7" s="18"/>
      <c r="BC7" s="110">
        <f>Y7</f>
        <v>94</v>
      </c>
      <c r="BD7" s="75"/>
      <c r="BE7" s="18"/>
      <c r="BF7" s="76"/>
      <c r="BG7" s="75"/>
      <c r="BH7" s="18"/>
      <c r="BI7" s="78">
        <v>3</v>
      </c>
      <c r="BJ7" s="110">
        <f>AT7-1</f>
        <v>93</v>
      </c>
      <c r="BK7" s="75"/>
      <c r="BL7" s="18"/>
      <c r="BM7" s="110">
        <f>AI7-1</f>
        <v>83</v>
      </c>
      <c r="BN7" s="75"/>
      <c r="BO7" s="18"/>
      <c r="BP7" s="110">
        <f>BC7-1</f>
        <v>93</v>
      </c>
      <c r="BQ7" s="75"/>
      <c r="BR7" s="18"/>
      <c r="BS7" s="76"/>
      <c r="BT7" s="75"/>
      <c r="BU7" s="18"/>
      <c r="BV7" s="78">
        <v>3</v>
      </c>
      <c r="BW7" s="110">
        <f>AT7+2</f>
        <v>96</v>
      </c>
      <c r="BX7" s="75"/>
      <c r="BY7" s="18"/>
      <c r="BZ7" s="110">
        <f>AI7+2</f>
        <v>86</v>
      </c>
      <c r="CA7" s="75"/>
      <c r="CB7" s="18"/>
      <c r="CC7" s="110">
        <f>BC7+2</f>
        <v>96</v>
      </c>
      <c r="CD7" s="75"/>
      <c r="CE7" s="18"/>
      <c r="CF7" s="76"/>
      <c r="CG7" s="75"/>
      <c r="CH7" s="18"/>
      <c r="CI7" s="78">
        <v>3</v>
      </c>
      <c r="CJ7" s="110">
        <f>AT7+1</f>
        <v>95</v>
      </c>
      <c r="CK7" s="75"/>
      <c r="CL7" s="18"/>
      <c r="CM7" s="110">
        <f>AI7+1</f>
        <v>85</v>
      </c>
      <c r="CN7" s="75"/>
      <c r="CO7" s="18"/>
      <c r="CP7" s="110">
        <f>BC7+1</f>
        <v>95</v>
      </c>
      <c r="CQ7" s="75"/>
      <c r="CR7" s="18"/>
      <c r="CS7" s="76"/>
      <c r="CT7" s="75"/>
      <c r="CU7" s="18"/>
      <c r="CV7" s="78">
        <v>3</v>
      </c>
      <c r="CW7" s="79">
        <f>(AW7+AZ7+BC7+BF7)/4</f>
        <v>68</v>
      </c>
      <c r="CX7" s="79">
        <f>(BJ7+BM7+BP7+BS7)/4</f>
        <v>67.25</v>
      </c>
      <c r="CY7" s="79">
        <f>(BW7+BZ7+CC7+CF7)/4</f>
        <v>69.5</v>
      </c>
      <c r="CZ7" s="79">
        <f>(CJ7+CM7+CP7+CS7)/4</f>
        <v>68.75</v>
      </c>
      <c r="DA7" s="18"/>
      <c r="DB7" s="80">
        <f>SUM(CW7:CZ7)/4</f>
        <v>68.375</v>
      </c>
      <c r="DC7" s="18"/>
      <c r="DD7" s="79">
        <f>DB7*0.5</f>
        <v>34.1875</v>
      </c>
      <c r="DE7" s="75"/>
      <c r="DF7" s="79">
        <f>DE7*0.5</f>
        <v>0</v>
      </c>
      <c r="DG7" s="81">
        <f>DF7+DD7</f>
        <v>34.1875</v>
      </c>
      <c r="DH7" s="18"/>
      <c r="DI7" s="79">
        <f>DB7*0.3</f>
        <v>20.5125</v>
      </c>
      <c r="DJ7" s="75"/>
      <c r="DK7" s="79">
        <f>DJ7*0.7</f>
        <v>0</v>
      </c>
      <c r="DL7" s="81">
        <f>DK7+DI7</f>
        <v>20.5125</v>
      </c>
    </row>
    <row r="8" ht="24.75" customHeight="1">
      <c r="A8" s="105"/>
      <c r="B8" s="106">
        <v>4</v>
      </c>
      <c r="C8" t="s" s="70">
        <v>169</v>
      </c>
      <c r="D8" t="s" s="71">
        <v>170</v>
      </c>
      <c r="E8" t="s" s="72">
        <v>43</v>
      </c>
      <c r="F8" t="s" s="113">
        <v>161</v>
      </c>
      <c r="G8" s="74"/>
      <c r="H8" t="s" s="113">
        <v>43</v>
      </c>
      <c r="I8" t="s" s="72">
        <v>43</v>
      </c>
      <c r="J8" t="s" s="113">
        <v>43</v>
      </c>
      <c r="K8" t="s" s="83">
        <v>43</v>
      </c>
      <c r="L8" t="s" s="83">
        <v>43</v>
      </c>
      <c r="M8" t="s" s="83">
        <v>43</v>
      </c>
      <c r="N8" s="79">
        <v>10</v>
      </c>
      <c r="O8" s="79">
        <v>0</v>
      </c>
      <c r="P8" s="79">
        <v>7</v>
      </c>
      <c r="Q8" s="79">
        <v>8</v>
      </c>
      <c r="R8" s="79">
        <v>7</v>
      </c>
      <c r="S8" s="79">
        <v>8</v>
      </c>
      <c r="T8" s="79">
        <v>10</v>
      </c>
      <c r="U8" s="110">
        <v>10</v>
      </c>
      <c r="V8" s="79">
        <v>10</v>
      </c>
      <c r="W8" s="79">
        <v>20</v>
      </c>
      <c r="X8" s="79">
        <v>3</v>
      </c>
      <c r="Y8" s="108">
        <f>N8+O8+P8+Q8+S8+T8+U8+V8+W8+X8+R8</f>
        <v>93</v>
      </c>
      <c r="Z8" s="75"/>
      <c r="AA8" s="75"/>
      <c r="AB8" s="79">
        <v>10</v>
      </c>
      <c r="AC8" s="110">
        <v>9</v>
      </c>
      <c r="AD8" s="79">
        <v>10</v>
      </c>
      <c r="AE8" s="110">
        <v>17</v>
      </c>
      <c r="AF8" s="79">
        <v>10</v>
      </c>
      <c r="AG8" s="110">
        <v>5</v>
      </c>
      <c r="AH8" s="79">
        <v>23</v>
      </c>
      <c r="AI8" s="111">
        <f>AB8+AC8+AD8+AE8+AF8+AG8+AH8</f>
        <v>84</v>
      </c>
      <c r="AJ8" s="18"/>
      <c r="AK8" s="112">
        <v>4</v>
      </c>
      <c r="AL8" s="110">
        <v>8</v>
      </c>
      <c r="AM8" s="79">
        <v>15</v>
      </c>
      <c r="AN8" s="110">
        <v>20</v>
      </c>
      <c r="AO8" s="79">
        <v>10</v>
      </c>
      <c r="AP8" s="79">
        <v>13</v>
      </c>
      <c r="AQ8" s="110">
        <v>9</v>
      </c>
      <c r="AR8" s="77">
        <v>18</v>
      </c>
      <c r="AS8" s="76"/>
      <c r="AT8" s="77">
        <f>SUM(AL8:AS8)</f>
        <v>93</v>
      </c>
      <c r="AU8" s="18"/>
      <c r="AV8" s="78">
        <v>4</v>
      </c>
      <c r="AW8" s="110">
        <f>AT8+0</f>
        <v>93</v>
      </c>
      <c r="AX8" s="75"/>
      <c r="AY8" s="18"/>
      <c r="AZ8" s="110">
        <f>AI8</f>
        <v>84</v>
      </c>
      <c r="BA8" s="75"/>
      <c r="BB8" s="18"/>
      <c r="BC8" s="110">
        <f>Y8</f>
        <v>93</v>
      </c>
      <c r="BD8" s="75"/>
      <c r="BE8" s="18"/>
      <c r="BF8" s="76"/>
      <c r="BG8" s="75"/>
      <c r="BH8" s="18"/>
      <c r="BI8" s="78">
        <v>4</v>
      </c>
      <c r="BJ8" s="110">
        <f>AT8-1</f>
        <v>92</v>
      </c>
      <c r="BK8" s="75"/>
      <c r="BL8" s="18"/>
      <c r="BM8" s="110">
        <f>AI8-1</f>
        <v>83</v>
      </c>
      <c r="BN8" s="75"/>
      <c r="BO8" s="18"/>
      <c r="BP8" s="110">
        <f>BC8-1</f>
        <v>92</v>
      </c>
      <c r="BQ8" s="75"/>
      <c r="BR8" s="18"/>
      <c r="BS8" s="76"/>
      <c r="BT8" s="75"/>
      <c r="BU8" s="18"/>
      <c r="BV8" s="78">
        <v>4</v>
      </c>
      <c r="BW8" s="110">
        <f>AT8+2</f>
        <v>95</v>
      </c>
      <c r="BX8" s="75"/>
      <c r="BY8" s="18"/>
      <c r="BZ8" s="110">
        <f>AI8+2</f>
        <v>86</v>
      </c>
      <c r="CA8" s="75"/>
      <c r="CB8" s="18"/>
      <c r="CC8" s="110">
        <f>BC8+2</f>
        <v>95</v>
      </c>
      <c r="CD8" s="75"/>
      <c r="CE8" s="18"/>
      <c r="CF8" s="76"/>
      <c r="CG8" s="75"/>
      <c r="CH8" s="18"/>
      <c r="CI8" s="78">
        <v>4</v>
      </c>
      <c r="CJ8" s="110">
        <f>AT8+1</f>
        <v>94</v>
      </c>
      <c r="CK8" s="75"/>
      <c r="CL8" s="18"/>
      <c r="CM8" s="110">
        <f>AI8+1</f>
        <v>85</v>
      </c>
      <c r="CN8" s="75"/>
      <c r="CO8" s="18"/>
      <c r="CP8" s="110">
        <f>BC8+1</f>
        <v>94</v>
      </c>
      <c r="CQ8" s="75"/>
      <c r="CR8" s="18"/>
      <c r="CS8" s="76"/>
      <c r="CT8" s="75"/>
      <c r="CU8" s="18"/>
      <c r="CV8" s="78">
        <v>4</v>
      </c>
      <c r="CW8" s="79">
        <f>(AW8+AZ8+BC8+BF8)/4</f>
        <v>67.5</v>
      </c>
      <c r="CX8" s="79">
        <f>(BJ8+BM8+BP8+BS8)/4</f>
        <v>66.75</v>
      </c>
      <c r="CY8" s="79">
        <f>(BW8+BZ8+CC8+CF8)/4</f>
        <v>69</v>
      </c>
      <c r="CZ8" s="79">
        <f>(CJ8+CM8+CP8+CS8)/4</f>
        <v>68.25</v>
      </c>
      <c r="DA8" s="18"/>
      <c r="DB8" s="80">
        <f>SUM(CW8:CZ8)/4</f>
        <v>67.875</v>
      </c>
      <c r="DC8" s="18"/>
      <c r="DD8" s="79">
        <f>DB8*0.5</f>
        <v>33.9375</v>
      </c>
      <c r="DE8" s="75"/>
      <c r="DF8" s="79">
        <f>DE8*0.5</f>
        <v>0</v>
      </c>
      <c r="DG8" s="81">
        <f>DF8+DD8</f>
        <v>33.9375</v>
      </c>
      <c r="DH8" s="18"/>
      <c r="DI8" s="79">
        <f>DB8*0.3</f>
        <v>20.3625</v>
      </c>
      <c r="DJ8" s="75"/>
      <c r="DK8" s="79">
        <f>DJ8*0.7</f>
        <v>0</v>
      </c>
      <c r="DL8" s="81">
        <f>DK8+DI8</f>
        <v>20.3625</v>
      </c>
    </row>
    <row r="9" ht="24.75" customHeight="1">
      <c r="A9" s="105"/>
      <c r="B9" s="106">
        <v>5</v>
      </c>
      <c r="C9" t="s" s="70">
        <v>171</v>
      </c>
      <c r="D9" t="s" s="71">
        <v>172</v>
      </c>
      <c r="E9" t="s" s="72">
        <v>43</v>
      </c>
      <c r="F9" t="s" s="113">
        <v>43</v>
      </c>
      <c r="G9" s="74"/>
      <c r="H9" t="s" s="113">
        <v>43</v>
      </c>
      <c r="I9" t="s" s="72">
        <v>43</v>
      </c>
      <c r="J9" t="s" s="113">
        <v>43</v>
      </c>
      <c r="K9" t="s" s="83">
        <v>43</v>
      </c>
      <c r="L9" t="s" s="83">
        <v>43</v>
      </c>
      <c r="M9" t="s" s="83">
        <v>43</v>
      </c>
      <c r="N9" s="79">
        <v>10</v>
      </c>
      <c r="O9" s="79">
        <v>10</v>
      </c>
      <c r="P9" s="79">
        <v>9</v>
      </c>
      <c r="Q9" s="79">
        <v>9</v>
      </c>
      <c r="R9" s="79">
        <v>8</v>
      </c>
      <c r="S9" s="79">
        <v>10</v>
      </c>
      <c r="T9" s="79">
        <v>10</v>
      </c>
      <c r="U9" s="110">
        <v>9</v>
      </c>
      <c r="V9" s="79">
        <v>10</v>
      </c>
      <c r="W9" s="79">
        <v>14</v>
      </c>
      <c r="X9" s="79">
        <v>3</v>
      </c>
      <c r="Y9" s="108">
        <f>N9+O9+P9+Q9+S9+T9+U9+V9+W9+X9+R9</f>
        <v>102</v>
      </c>
      <c r="Z9" s="75"/>
      <c r="AA9" s="75"/>
      <c r="AB9" s="79">
        <v>10</v>
      </c>
      <c r="AC9" s="110">
        <v>10</v>
      </c>
      <c r="AD9" s="79">
        <v>10</v>
      </c>
      <c r="AE9" s="110">
        <v>17</v>
      </c>
      <c r="AF9" s="79">
        <v>18</v>
      </c>
      <c r="AG9" s="110">
        <v>8</v>
      </c>
      <c r="AH9" s="79">
        <v>23</v>
      </c>
      <c r="AI9" s="111">
        <f>AB9+AC9+AD9+AE9+AF9+AG9+AH9</f>
        <v>96</v>
      </c>
      <c r="AJ9" s="18"/>
      <c r="AK9" s="112">
        <v>5</v>
      </c>
      <c r="AL9" s="110">
        <v>10</v>
      </c>
      <c r="AM9" s="79">
        <v>15</v>
      </c>
      <c r="AN9" s="110">
        <v>20</v>
      </c>
      <c r="AO9" s="79">
        <v>8</v>
      </c>
      <c r="AP9" s="79">
        <v>15</v>
      </c>
      <c r="AQ9" s="110">
        <v>9</v>
      </c>
      <c r="AR9" s="77">
        <v>18</v>
      </c>
      <c r="AS9" s="76"/>
      <c r="AT9" s="77">
        <f>SUM(AL9:AS9)</f>
        <v>95</v>
      </c>
      <c r="AU9" s="112">
        <v>2</v>
      </c>
      <c r="AV9" s="78">
        <v>5</v>
      </c>
      <c r="AW9" s="110">
        <f>AT9+0</f>
        <v>95</v>
      </c>
      <c r="AX9" s="75"/>
      <c r="AY9" s="18"/>
      <c r="AZ9" s="110">
        <f>AI9</f>
        <v>96</v>
      </c>
      <c r="BA9" s="75"/>
      <c r="BB9" s="18"/>
      <c r="BC9" s="110">
        <v>100</v>
      </c>
      <c r="BD9" s="75"/>
      <c r="BE9" s="18"/>
      <c r="BF9" s="76"/>
      <c r="BG9" s="75"/>
      <c r="BH9" s="18"/>
      <c r="BI9" s="78">
        <v>5</v>
      </c>
      <c r="BJ9" s="110">
        <f>AT9-1</f>
        <v>94</v>
      </c>
      <c r="BK9" s="75"/>
      <c r="BL9" s="18"/>
      <c r="BM9" s="110">
        <f>AI9-1</f>
        <v>95</v>
      </c>
      <c r="BN9" s="75"/>
      <c r="BO9" s="18"/>
      <c r="BP9" s="110">
        <v>100</v>
      </c>
      <c r="BQ9" s="75"/>
      <c r="BR9" s="18"/>
      <c r="BS9" s="76"/>
      <c r="BT9" s="75"/>
      <c r="BU9" s="18"/>
      <c r="BV9" s="78">
        <v>5</v>
      </c>
      <c r="BW9" s="110">
        <f>AT9+2</f>
        <v>97</v>
      </c>
      <c r="BX9" s="75"/>
      <c r="BY9" s="18"/>
      <c r="BZ9" s="110">
        <f>AI9+2</f>
        <v>98</v>
      </c>
      <c r="CA9" s="75"/>
      <c r="CB9" s="18"/>
      <c r="CC9" s="110">
        <v>100</v>
      </c>
      <c r="CD9" s="75"/>
      <c r="CE9" s="18"/>
      <c r="CF9" s="76"/>
      <c r="CG9" s="75"/>
      <c r="CH9" s="18"/>
      <c r="CI9" s="78">
        <v>5</v>
      </c>
      <c r="CJ9" s="110">
        <f>AT9+1</f>
        <v>96</v>
      </c>
      <c r="CK9" s="75"/>
      <c r="CL9" s="18"/>
      <c r="CM9" s="110">
        <f>AI9+1</f>
        <v>97</v>
      </c>
      <c r="CN9" s="75"/>
      <c r="CO9" s="18"/>
      <c r="CP9" s="110">
        <v>100</v>
      </c>
      <c r="CQ9" s="75"/>
      <c r="CR9" s="18"/>
      <c r="CS9" s="76"/>
      <c r="CT9" s="75"/>
      <c r="CU9" s="18"/>
      <c r="CV9" s="78">
        <v>5</v>
      </c>
      <c r="CW9" s="79">
        <f>(AW9+AZ9+BC9+BF9)/4</f>
        <v>72.75</v>
      </c>
      <c r="CX9" s="79">
        <f>(BJ9+BM9+BP9+BS9)/4</f>
        <v>72.25</v>
      </c>
      <c r="CY9" s="79">
        <f>(BW9+BZ9+CC9+CF9)/4</f>
        <v>73.75</v>
      </c>
      <c r="CZ9" s="79">
        <f>(CJ9+CM9+CP9+CS9)/4</f>
        <v>73.25</v>
      </c>
      <c r="DA9" s="18"/>
      <c r="DB9" s="80">
        <f>SUM(CW9:CZ9)/4</f>
        <v>73</v>
      </c>
      <c r="DC9" s="18"/>
      <c r="DD9" s="79">
        <f>DB9*0.5</f>
        <v>36.5</v>
      </c>
      <c r="DE9" s="75"/>
      <c r="DF9" s="79">
        <f>DE9*0.5</f>
        <v>0</v>
      </c>
      <c r="DG9" s="81">
        <f>DF9+DD9</f>
        <v>36.5</v>
      </c>
      <c r="DH9" s="18"/>
      <c r="DI9" s="79">
        <f>DB9*0.3</f>
        <v>21.9</v>
      </c>
      <c r="DJ9" s="75"/>
      <c r="DK9" s="79">
        <f>DJ9*0.7</f>
        <v>0</v>
      </c>
      <c r="DL9" s="81">
        <f>DK9+DI9</f>
        <v>21.9</v>
      </c>
    </row>
    <row r="10" ht="24.75" customHeight="1">
      <c r="A10" s="114"/>
      <c r="B10" s="115">
        <v>6</v>
      </c>
      <c r="C10" t="s" s="116">
        <v>173</v>
      </c>
      <c r="D10" t="s" s="117">
        <v>174</v>
      </c>
      <c r="E10" t="s" s="118">
        <v>43</v>
      </c>
      <c r="F10" t="s" s="119">
        <v>43</v>
      </c>
      <c r="G10" s="120"/>
      <c r="H10" t="s" s="119">
        <v>43</v>
      </c>
      <c r="I10" t="s" s="118">
        <v>43</v>
      </c>
      <c r="J10" t="s" s="113">
        <v>43</v>
      </c>
      <c r="K10" t="s" s="83">
        <v>161</v>
      </c>
      <c r="L10" t="s" s="83">
        <v>43</v>
      </c>
      <c r="M10" t="s" s="83">
        <v>43</v>
      </c>
      <c r="N10" s="79">
        <v>8</v>
      </c>
      <c r="O10" s="79">
        <v>10</v>
      </c>
      <c r="P10" s="79">
        <v>7</v>
      </c>
      <c r="Q10" s="79">
        <v>8</v>
      </c>
      <c r="R10" s="75"/>
      <c r="S10" s="79">
        <v>10</v>
      </c>
      <c r="T10" s="79">
        <v>9</v>
      </c>
      <c r="U10" s="110">
        <v>10</v>
      </c>
      <c r="V10" s="79">
        <v>10</v>
      </c>
      <c r="W10" s="79">
        <v>14</v>
      </c>
      <c r="X10" s="79">
        <v>3</v>
      </c>
      <c r="Y10" s="108">
        <f>N10+O10+P10+Q10+S10+T10+U10+V10+W10+X10+R10</f>
        <v>89</v>
      </c>
      <c r="Z10" s="75"/>
      <c r="AA10" s="75"/>
      <c r="AB10" s="79">
        <v>10</v>
      </c>
      <c r="AC10" s="110">
        <v>9</v>
      </c>
      <c r="AD10" s="79">
        <v>10</v>
      </c>
      <c r="AE10" s="110">
        <v>17</v>
      </c>
      <c r="AF10" s="79">
        <v>10</v>
      </c>
      <c r="AG10" s="110">
        <v>0</v>
      </c>
      <c r="AH10" s="79">
        <v>23</v>
      </c>
      <c r="AI10" s="111">
        <f>AB10+AC10+AD10+AE10+AF10+AG10+AH10</f>
        <v>79</v>
      </c>
      <c r="AJ10" s="121"/>
      <c r="AK10" s="122">
        <v>6</v>
      </c>
      <c r="AL10" s="123">
        <v>10</v>
      </c>
      <c r="AM10" s="123">
        <v>0</v>
      </c>
      <c r="AN10" s="123">
        <v>20</v>
      </c>
      <c r="AO10" s="123">
        <v>10</v>
      </c>
      <c r="AP10" s="123">
        <v>0</v>
      </c>
      <c r="AQ10" s="123">
        <v>9</v>
      </c>
      <c r="AR10" s="123">
        <v>18</v>
      </c>
      <c r="AS10" s="124"/>
      <c r="AT10" s="123">
        <f>SUM(AL10:AS10)</f>
        <v>67</v>
      </c>
      <c r="AU10" s="121"/>
      <c r="AV10" s="125">
        <v>6</v>
      </c>
      <c r="AW10" s="123">
        <f>AT10+0</f>
        <v>67</v>
      </c>
      <c r="AX10" s="123">
        <v>70</v>
      </c>
      <c r="AY10" s="121"/>
      <c r="AZ10" s="110">
        <f>AI10</f>
        <v>79</v>
      </c>
      <c r="BA10" s="124"/>
      <c r="BB10" s="121"/>
      <c r="BC10" s="110">
        <f>Y10</f>
        <v>89</v>
      </c>
      <c r="BD10" s="124"/>
      <c r="BE10" s="121"/>
      <c r="BF10" s="124"/>
      <c r="BG10" s="124"/>
      <c r="BH10" s="121"/>
      <c r="BI10" s="125">
        <v>6</v>
      </c>
      <c r="BJ10" s="123">
        <f>AT10-1</f>
        <v>66</v>
      </c>
      <c r="BK10" s="123">
        <v>70</v>
      </c>
      <c r="BL10" s="121"/>
      <c r="BM10" s="110">
        <f>AI10-1</f>
        <v>78</v>
      </c>
      <c r="BN10" s="124"/>
      <c r="BO10" s="121"/>
      <c r="BP10" s="110">
        <f>BC10-1</f>
        <v>88</v>
      </c>
      <c r="BQ10" s="124"/>
      <c r="BR10" s="121"/>
      <c r="BS10" s="124"/>
      <c r="BT10" s="124"/>
      <c r="BU10" s="121"/>
      <c r="BV10" s="125">
        <v>6</v>
      </c>
      <c r="BW10" s="123">
        <f>AT10+2</f>
        <v>69</v>
      </c>
      <c r="BX10" s="123">
        <v>70</v>
      </c>
      <c r="BY10" s="121"/>
      <c r="BZ10" s="110">
        <f>AI10+2</f>
        <v>81</v>
      </c>
      <c r="CA10" s="124"/>
      <c r="CB10" s="121"/>
      <c r="CC10" s="110">
        <f>BC10+2</f>
        <v>91</v>
      </c>
      <c r="CD10" s="124"/>
      <c r="CE10" s="121"/>
      <c r="CF10" s="124"/>
      <c r="CG10" s="124"/>
      <c r="CH10" s="121"/>
      <c r="CI10" s="125">
        <v>6</v>
      </c>
      <c r="CJ10" s="123">
        <f>AT10+1</f>
        <v>68</v>
      </c>
      <c r="CK10" s="123">
        <v>70</v>
      </c>
      <c r="CL10" s="121"/>
      <c r="CM10" s="110">
        <f>AI10+1</f>
        <v>80</v>
      </c>
      <c r="CN10" s="124"/>
      <c r="CO10" s="121"/>
      <c r="CP10" s="110">
        <f>BC10+1</f>
        <v>90</v>
      </c>
      <c r="CQ10" s="124"/>
      <c r="CR10" s="121"/>
      <c r="CS10" s="124"/>
      <c r="CT10" s="124"/>
      <c r="CU10" s="121"/>
      <c r="CV10" s="125">
        <v>6</v>
      </c>
      <c r="CW10" s="123">
        <f>(AW10+AZ10+BC10+BF10)/4</f>
        <v>58.75</v>
      </c>
      <c r="CX10" s="123">
        <f>(BJ10+BM10+BP10+BS10)/4</f>
        <v>58</v>
      </c>
      <c r="CY10" s="123">
        <f>(BW10+BZ10+CC10+CF10)/4</f>
        <v>60.25</v>
      </c>
      <c r="CZ10" s="123">
        <f>(CJ10+CM10+CP10+CS10)/4</f>
        <v>59.5</v>
      </c>
      <c r="DA10" s="121"/>
      <c r="DB10" s="126">
        <f>SUM(CW10:CZ10)/4</f>
        <v>59.125</v>
      </c>
      <c r="DC10" s="121"/>
      <c r="DD10" s="123">
        <f>DB10*0.5</f>
        <v>29.5625</v>
      </c>
      <c r="DE10" s="124"/>
      <c r="DF10" s="123">
        <f>DE10*0.5</f>
        <v>0</v>
      </c>
      <c r="DG10" s="126">
        <f>DF10+DD10</f>
        <v>29.5625</v>
      </c>
      <c r="DH10" s="121"/>
      <c r="DI10" s="123">
        <f>DB10*0.3</f>
        <v>17.7375</v>
      </c>
      <c r="DJ10" s="124"/>
      <c r="DK10" s="123">
        <f>DJ10*0.7</f>
        <v>0</v>
      </c>
      <c r="DL10" s="126">
        <f>DK10+DI10</f>
        <v>17.7375</v>
      </c>
    </row>
    <row r="11" ht="24.75" customHeight="1">
      <c r="A11" s="105"/>
      <c r="B11" s="106">
        <v>7</v>
      </c>
      <c r="C11" t="s" s="70">
        <v>175</v>
      </c>
      <c r="D11" t="s" s="71">
        <v>176</v>
      </c>
      <c r="E11" t="s" s="72">
        <v>43</v>
      </c>
      <c r="F11" t="s" s="113">
        <v>43</v>
      </c>
      <c r="G11" s="74"/>
      <c r="H11" t="s" s="113">
        <v>43</v>
      </c>
      <c r="I11" t="s" s="72">
        <v>43</v>
      </c>
      <c r="J11" t="s" s="113">
        <v>43</v>
      </c>
      <c r="K11" t="s" s="127">
        <v>43</v>
      </c>
      <c r="L11" t="s" s="83">
        <v>43</v>
      </c>
      <c r="M11" t="s" s="127">
        <v>43</v>
      </c>
      <c r="N11" s="79">
        <v>10</v>
      </c>
      <c r="O11" s="123">
        <v>10</v>
      </c>
      <c r="P11" s="123">
        <v>7</v>
      </c>
      <c r="Q11" s="123">
        <v>8</v>
      </c>
      <c r="R11" s="124"/>
      <c r="S11" s="123">
        <v>8</v>
      </c>
      <c r="T11" s="123">
        <v>9</v>
      </c>
      <c r="U11" s="110">
        <v>9</v>
      </c>
      <c r="V11" s="79">
        <v>10</v>
      </c>
      <c r="W11" s="123">
        <v>13</v>
      </c>
      <c r="X11" s="79">
        <v>3</v>
      </c>
      <c r="Y11" s="108">
        <f>N11+O11+P11+Q11+S11+T11+U11+V11+W11+X11+R11</f>
        <v>87</v>
      </c>
      <c r="Z11" s="124"/>
      <c r="AA11" s="124"/>
      <c r="AB11" s="123">
        <v>10</v>
      </c>
      <c r="AC11" s="123">
        <v>9</v>
      </c>
      <c r="AD11" s="123">
        <v>9</v>
      </c>
      <c r="AE11" s="123">
        <v>14</v>
      </c>
      <c r="AF11" s="123">
        <v>18</v>
      </c>
      <c r="AG11" s="123">
        <v>7</v>
      </c>
      <c r="AH11" s="79">
        <v>23</v>
      </c>
      <c r="AI11" s="111">
        <f>AB11+AC11+AD11+AE11+AF11+AG11+AH11</f>
        <v>90</v>
      </c>
      <c r="AJ11" s="18"/>
      <c r="AK11" s="112">
        <v>7</v>
      </c>
      <c r="AL11" s="110">
        <v>10</v>
      </c>
      <c r="AM11" s="79">
        <v>20</v>
      </c>
      <c r="AN11" s="110">
        <v>20</v>
      </c>
      <c r="AO11" s="79">
        <v>10</v>
      </c>
      <c r="AP11" s="79">
        <v>15</v>
      </c>
      <c r="AQ11" s="110">
        <v>8</v>
      </c>
      <c r="AR11" s="77">
        <v>18</v>
      </c>
      <c r="AS11" s="76"/>
      <c r="AT11" s="77">
        <f>SUM(AL11:AS11)</f>
        <v>101</v>
      </c>
      <c r="AU11" s="18"/>
      <c r="AV11" s="78">
        <v>7</v>
      </c>
      <c r="AW11" s="110">
        <v>100</v>
      </c>
      <c r="AX11" s="75"/>
      <c r="AY11" s="18"/>
      <c r="AZ11" s="110">
        <f>AI11</f>
        <v>90</v>
      </c>
      <c r="BA11" s="75"/>
      <c r="BB11" s="18"/>
      <c r="BC11" s="110">
        <f>Y11</f>
        <v>87</v>
      </c>
      <c r="BD11" s="75"/>
      <c r="BE11" s="18"/>
      <c r="BF11" s="76"/>
      <c r="BG11" s="75"/>
      <c r="BH11" s="18"/>
      <c r="BI11" s="78">
        <v>7</v>
      </c>
      <c r="BJ11" s="110">
        <f>AT11-1</f>
        <v>100</v>
      </c>
      <c r="BK11" s="75"/>
      <c r="BL11" s="18"/>
      <c r="BM11" s="110">
        <f>AI11-1</f>
        <v>89</v>
      </c>
      <c r="BN11" s="75"/>
      <c r="BO11" s="18"/>
      <c r="BP11" s="110">
        <f>BC11-1</f>
        <v>86</v>
      </c>
      <c r="BQ11" s="75"/>
      <c r="BR11" s="18"/>
      <c r="BS11" s="76"/>
      <c r="BT11" s="75"/>
      <c r="BU11" s="18"/>
      <c r="BV11" s="78">
        <v>7</v>
      </c>
      <c r="BW11" s="110">
        <v>100</v>
      </c>
      <c r="BX11" s="75"/>
      <c r="BY11" s="18"/>
      <c r="BZ11" s="110">
        <f>AI11+2</f>
        <v>92</v>
      </c>
      <c r="CA11" s="75"/>
      <c r="CB11" s="18"/>
      <c r="CC11" s="110">
        <f>BC11+2</f>
        <v>89</v>
      </c>
      <c r="CD11" s="75"/>
      <c r="CE11" s="18"/>
      <c r="CF11" s="76"/>
      <c r="CG11" s="75"/>
      <c r="CH11" s="18"/>
      <c r="CI11" s="78">
        <v>7</v>
      </c>
      <c r="CJ11" s="110">
        <v>100</v>
      </c>
      <c r="CK11" s="75"/>
      <c r="CL11" s="18"/>
      <c r="CM11" s="110">
        <f>AI11+1</f>
        <v>91</v>
      </c>
      <c r="CN11" s="75"/>
      <c r="CO11" s="18"/>
      <c r="CP11" s="110">
        <f>BC11+1</f>
        <v>88</v>
      </c>
      <c r="CQ11" s="75"/>
      <c r="CR11" s="18"/>
      <c r="CS11" s="76"/>
      <c r="CT11" s="75"/>
      <c r="CU11" s="18"/>
      <c r="CV11" s="78">
        <v>7</v>
      </c>
      <c r="CW11" s="79">
        <f>(AW11+AZ11+BC11+BF11)/4</f>
        <v>69.25</v>
      </c>
      <c r="CX11" s="79">
        <f>(BJ11+BM11+BP11+BS11)/4</f>
        <v>68.75</v>
      </c>
      <c r="CY11" s="79">
        <f>(BW11+BZ11+CC11+CF11)/4</f>
        <v>70.25</v>
      </c>
      <c r="CZ11" s="79">
        <f>(CJ11+CM11+CP11+CS11)/4</f>
        <v>69.75</v>
      </c>
      <c r="DA11" s="18"/>
      <c r="DB11" s="80">
        <f>SUM(CW11:CZ11)/4</f>
        <v>69.5</v>
      </c>
      <c r="DC11" s="18"/>
      <c r="DD11" s="79">
        <f>DB11*0.5</f>
        <v>34.75</v>
      </c>
      <c r="DE11" s="75"/>
      <c r="DF11" s="79">
        <f>DE11*0.5</f>
        <v>0</v>
      </c>
      <c r="DG11" s="81">
        <f>DF11+DD11</f>
        <v>34.75</v>
      </c>
      <c r="DH11" s="18"/>
      <c r="DI11" s="79">
        <f>DB11*0.3</f>
        <v>20.85</v>
      </c>
      <c r="DJ11" s="75"/>
      <c r="DK11" s="79">
        <f>DJ11*0.7</f>
        <v>0</v>
      </c>
      <c r="DL11" s="81">
        <f>DK11+DI11</f>
        <v>20.85</v>
      </c>
    </row>
    <row r="12" ht="24.75" customHeight="1">
      <c r="A12" s="105"/>
      <c r="B12" s="106">
        <v>8</v>
      </c>
      <c r="C12" t="s" s="70">
        <v>177</v>
      </c>
      <c r="D12" t="s" s="71">
        <v>178</v>
      </c>
      <c r="E12" t="s" s="72">
        <v>43</v>
      </c>
      <c r="F12" t="s" s="113">
        <v>43</v>
      </c>
      <c r="G12" s="74"/>
      <c r="H12" t="s" s="113">
        <v>163</v>
      </c>
      <c r="I12" t="s" s="72">
        <v>43</v>
      </c>
      <c r="J12" t="s" s="113">
        <v>43</v>
      </c>
      <c r="K12" t="s" s="83">
        <v>161</v>
      </c>
      <c r="L12" t="s" s="83">
        <v>43</v>
      </c>
      <c r="M12" t="s" s="83">
        <v>43</v>
      </c>
      <c r="N12" s="79">
        <v>8</v>
      </c>
      <c r="O12" s="79">
        <v>10</v>
      </c>
      <c r="P12" s="79">
        <v>7</v>
      </c>
      <c r="Q12" s="79">
        <v>7</v>
      </c>
      <c r="R12" s="75"/>
      <c r="S12" s="79">
        <v>10</v>
      </c>
      <c r="T12" s="79">
        <v>10</v>
      </c>
      <c r="U12" s="123">
        <v>9</v>
      </c>
      <c r="V12" s="123">
        <v>9</v>
      </c>
      <c r="W12" s="79">
        <v>13</v>
      </c>
      <c r="X12" s="79">
        <v>3</v>
      </c>
      <c r="Y12" s="108">
        <f>N12+O12+P12+Q12+S12+T12+U12+V12+W12+X12+R12</f>
        <v>86</v>
      </c>
      <c r="Z12" s="75"/>
      <c r="AA12" s="75"/>
      <c r="AB12" s="79">
        <v>10</v>
      </c>
      <c r="AC12" s="110">
        <v>10</v>
      </c>
      <c r="AD12" s="79">
        <v>10</v>
      </c>
      <c r="AE12" s="110">
        <v>17</v>
      </c>
      <c r="AF12" s="79">
        <v>18</v>
      </c>
      <c r="AG12" s="110">
        <v>7</v>
      </c>
      <c r="AH12" s="79">
        <v>23</v>
      </c>
      <c r="AI12" s="111">
        <f>AB12+AC12+AD12+AE12+AF12+AG12+AH12</f>
        <v>95</v>
      </c>
      <c r="AJ12" s="18"/>
      <c r="AK12" s="112">
        <v>8</v>
      </c>
      <c r="AL12" s="110">
        <v>10</v>
      </c>
      <c r="AM12" s="79">
        <v>20</v>
      </c>
      <c r="AN12" s="110">
        <v>20</v>
      </c>
      <c r="AO12" s="79">
        <v>10</v>
      </c>
      <c r="AP12" s="79">
        <v>12</v>
      </c>
      <c r="AQ12" s="110">
        <v>10</v>
      </c>
      <c r="AR12" s="77">
        <v>18</v>
      </c>
      <c r="AS12" s="76"/>
      <c r="AT12" s="77">
        <f>SUM(AL12:AS12)</f>
        <v>100</v>
      </c>
      <c r="AU12" s="18"/>
      <c r="AV12" s="78">
        <v>8</v>
      </c>
      <c r="AW12" s="110">
        <f>AT12+0</f>
        <v>100</v>
      </c>
      <c r="AX12" s="75"/>
      <c r="AY12" s="18"/>
      <c r="AZ12" s="110">
        <f>AI12</f>
        <v>95</v>
      </c>
      <c r="BA12" s="75"/>
      <c r="BB12" s="18"/>
      <c r="BC12" s="110">
        <f>Y12</f>
        <v>86</v>
      </c>
      <c r="BD12" s="75"/>
      <c r="BE12" s="18"/>
      <c r="BF12" s="76"/>
      <c r="BG12" s="75"/>
      <c r="BH12" s="18"/>
      <c r="BI12" s="78">
        <v>8</v>
      </c>
      <c r="BJ12" s="110">
        <f>AT12-1</f>
        <v>99</v>
      </c>
      <c r="BK12" s="75"/>
      <c r="BL12" s="18"/>
      <c r="BM12" s="110">
        <f>AI12-1</f>
        <v>94</v>
      </c>
      <c r="BN12" s="75"/>
      <c r="BO12" s="18"/>
      <c r="BP12" s="110">
        <f>BC12-1</f>
        <v>85</v>
      </c>
      <c r="BQ12" s="75"/>
      <c r="BR12" s="18"/>
      <c r="BS12" s="76"/>
      <c r="BT12" s="75"/>
      <c r="BU12" s="18"/>
      <c r="BV12" s="78">
        <v>8</v>
      </c>
      <c r="BW12" s="110">
        <v>100</v>
      </c>
      <c r="BX12" s="75"/>
      <c r="BY12" s="18"/>
      <c r="BZ12" s="110">
        <f>AI12+2</f>
        <v>97</v>
      </c>
      <c r="CA12" s="75"/>
      <c r="CB12" s="18"/>
      <c r="CC12" s="110">
        <f>BC12+2</f>
        <v>88</v>
      </c>
      <c r="CD12" s="75"/>
      <c r="CE12" s="18"/>
      <c r="CF12" s="76"/>
      <c r="CG12" s="75"/>
      <c r="CH12" s="18"/>
      <c r="CI12" s="78">
        <v>8</v>
      </c>
      <c r="CJ12" s="110">
        <v>100</v>
      </c>
      <c r="CK12" s="75"/>
      <c r="CL12" s="18"/>
      <c r="CM12" s="110">
        <f>AI12+1</f>
        <v>96</v>
      </c>
      <c r="CN12" s="75"/>
      <c r="CO12" s="18"/>
      <c r="CP12" s="110">
        <f>BC12+1</f>
        <v>87</v>
      </c>
      <c r="CQ12" s="75"/>
      <c r="CR12" s="18"/>
      <c r="CS12" s="76"/>
      <c r="CT12" s="75"/>
      <c r="CU12" s="18"/>
      <c r="CV12" s="78">
        <v>8</v>
      </c>
      <c r="CW12" s="79">
        <f>(AW12+AZ12+BC12+BF12)/4</f>
        <v>70.25</v>
      </c>
      <c r="CX12" s="79">
        <f>(BJ12+BM12+BP12+BS12)/4</f>
        <v>69.5</v>
      </c>
      <c r="CY12" s="79">
        <f>(BW12+BZ12+CC12+CF12)/4</f>
        <v>71.25</v>
      </c>
      <c r="CZ12" s="79">
        <f>(CJ12+CM12+CP12+CS12)/4</f>
        <v>70.75</v>
      </c>
      <c r="DA12" s="18"/>
      <c r="DB12" s="80">
        <f>SUM(CW12:CZ12)/4</f>
        <v>70.4375</v>
      </c>
      <c r="DC12" s="18"/>
      <c r="DD12" s="79">
        <f>DB12*0.5</f>
        <v>35.21875</v>
      </c>
      <c r="DE12" s="75"/>
      <c r="DF12" s="79">
        <f>DE12*0.5</f>
        <v>0</v>
      </c>
      <c r="DG12" s="81">
        <f>DF12+DD12</f>
        <v>35.21875</v>
      </c>
      <c r="DH12" s="18"/>
      <c r="DI12" s="79">
        <f>DB12*0.3</f>
        <v>21.13125</v>
      </c>
      <c r="DJ12" s="75"/>
      <c r="DK12" s="79">
        <f>DJ12*0.7</f>
        <v>0</v>
      </c>
      <c r="DL12" s="81">
        <f>DK12+DI12</f>
        <v>21.13125</v>
      </c>
    </row>
    <row r="13" ht="24.75" customHeight="1">
      <c r="A13" s="105"/>
      <c r="B13" s="106">
        <v>9</v>
      </c>
      <c r="C13" t="s" s="70">
        <v>179</v>
      </c>
      <c r="D13" t="s" s="71">
        <v>180</v>
      </c>
      <c r="E13" t="s" s="72">
        <v>43</v>
      </c>
      <c r="F13" t="s" s="113">
        <v>43</v>
      </c>
      <c r="G13" s="74"/>
      <c r="H13" t="s" s="113">
        <v>43</v>
      </c>
      <c r="I13" t="s" s="72">
        <v>43</v>
      </c>
      <c r="J13" t="s" s="113">
        <v>43</v>
      </c>
      <c r="K13" t="s" s="83">
        <v>161</v>
      </c>
      <c r="L13" t="s" s="83">
        <v>43</v>
      </c>
      <c r="M13" t="s" s="83">
        <v>43</v>
      </c>
      <c r="N13" s="79">
        <v>8</v>
      </c>
      <c r="O13" s="79">
        <v>0</v>
      </c>
      <c r="P13" s="79">
        <v>6</v>
      </c>
      <c r="Q13" s="79">
        <v>7</v>
      </c>
      <c r="R13" s="75"/>
      <c r="S13" s="79">
        <v>9</v>
      </c>
      <c r="T13" s="79">
        <v>10</v>
      </c>
      <c r="U13" s="110">
        <v>10</v>
      </c>
      <c r="V13" s="79">
        <v>10</v>
      </c>
      <c r="W13" s="79">
        <v>12</v>
      </c>
      <c r="X13" s="79">
        <v>3</v>
      </c>
      <c r="Y13" s="108">
        <f>N13+O13+P13+Q13+S13+T13+U13+V13+W13+X13+R13</f>
        <v>75</v>
      </c>
      <c r="Z13" s="75"/>
      <c r="AA13" s="75"/>
      <c r="AB13" s="79">
        <v>10</v>
      </c>
      <c r="AC13" s="110">
        <v>9</v>
      </c>
      <c r="AD13" s="79">
        <v>10</v>
      </c>
      <c r="AE13" s="110">
        <v>17</v>
      </c>
      <c r="AF13" s="79">
        <v>12</v>
      </c>
      <c r="AG13" s="110">
        <v>8</v>
      </c>
      <c r="AH13" s="79">
        <v>23</v>
      </c>
      <c r="AI13" s="111">
        <f>AB13+AC13+AD13+AE13+AF13+AG13+AH13</f>
        <v>89</v>
      </c>
      <c r="AJ13" s="18"/>
      <c r="AK13" s="112">
        <v>9</v>
      </c>
      <c r="AL13" s="110">
        <v>10</v>
      </c>
      <c r="AM13" s="79">
        <v>12</v>
      </c>
      <c r="AN13" s="110">
        <v>20</v>
      </c>
      <c r="AO13" s="79">
        <v>10</v>
      </c>
      <c r="AP13" s="79">
        <v>5</v>
      </c>
      <c r="AQ13" s="110">
        <v>10</v>
      </c>
      <c r="AR13" s="77">
        <v>18</v>
      </c>
      <c r="AS13" s="76"/>
      <c r="AT13" s="77">
        <f>SUM(AL13:AS13)</f>
        <v>85</v>
      </c>
      <c r="AU13" s="112">
        <v>7</v>
      </c>
      <c r="AV13" s="78">
        <v>9</v>
      </c>
      <c r="AW13" s="110">
        <f>AT13+0</f>
        <v>85</v>
      </c>
      <c r="AX13" s="75"/>
      <c r="AY13" s="18"/>
      <c r="AZ13" s="110">
        <f>AI13</f>
        <v>89</v>
      </c>
      <c r="BA13" s="75"/>
      <c r="BB13" s="18"/>
      <c r="BC13" s="110">
        <f>Y13</f>
        <v>75</v>
      </c>
      <c r="BD13" s="75"/>
      <c r="BE13" s="18"/>
      <c r="BF13" s="76"/>
      <c r="BG13" s="75"/>
      <c r="BH13" s="18"/>
      <c r="BI13" s="78">
        <v>9</v>
      </c>
      <c r="BJ13" s="110">
        <f>AT13-1</f>
        <v>84</v>
      </c>
      <c r="BK13" s="75"/>
      <c r="BL13" s="18"/>
      <c r="BM13" s="110">
        <f>AI13-1</f>
        <v>88</v>
      </c>
      <c r="BN13" s="75"/>
      <c r="BO13" s="18"/>
      <c r="BP13" s="110">
        <f>BC13-1</f>
        <v>74</v>
      </c>
      <c r="BQ13" s="75"/>
      <c r="BR13" s="18"/>
      <c r="BS13" s="76"/>
      <c r="BT13" s="75"/>
      <c r="BU13" s="18"/>
      <c r="BV13" s="78">
        <v>9</v>
      </c>
      <c r="BW13" s="110">
        <f>AT13+2</f>
        <v>87</v>
      </c>
      <c r="BX13" s="75"/>
      <c r="BY13" s="18"/>
      <c r="BZ13" s="110">
        <f>AI13+2</f>
        <v>91</v>
      </c>
      <c r="CA13" s="75"/>
      <c r="CB13" s="18"/>
      <c r="CC13" s="110">
        <f>BC13+2</f>
        <v>77</v>
      </c>
      <c r="CD13" s="75"/>
      <c r="CE13" s="18"/>
      <c r="CF13" s="76"/>
      <c r="CG13" s="75"/>
      <c r="CH13" s="18"/>
      <c r="CI13" s="78">
        <v>9</v>
      </c>
      <c r="CJ13" s="110">
        <f>AT13+1</f>
        <v>86</v>
      </c>
      <c r="CK13" s="75"/>
      <c r="CL13" s="18"/>
      <c r="CM13" s="110">
        <f>AI13+1</f>
        <v>90</v>
      </c>
      <c r="CN13" s="75"/>
      <c r="CO13" s="18"/>
      <c r="CP13" s="110">
        <f>BC13+1</f>
        <v>76</v>
      </c>
      <c r="CQ13" s="75"/>
      <c r="CR13" s="18"/>
      <c r="CS13" s="76"/>
      <c r="CT13" s="75"/>
      <c r="CU13" s="18"/>
      <c r="CV13" s="78">
        <v>9</v>
      </c>
      <c r="CW13" s="79">
        <f>(AW13+AZ13+BC13+BF13)/4</f>
        <v>62.25</v>
      </c>
      <c r="CX13" s="79">
        <f>(BJ13+BM13+BP13+BS13)/4</f>
        <v>61.5</v>
      </c>
      <c r="CY13" s="79">
        <f>(BW13+BZ13+CC13+CF13)/4</f>
        <v>63.75</v>
      </c>
      <c r="CZ13" s="79">
        <f>(CJ13+CM13+CP13+CS13)/4</f>
        <v>63</v>
      </c>
      <c r="DA13" s="18"/>
      <c r="DB13" s="80">
        <f>SUM(CW13:CZ13)/4</f>
        <v>62.625</v>
      </c>
      <c r="DC13" s="18"/>
      <c r="DD13" s="79">
        <f>DB13*0.5</f>
        <v>31.3125</v>
      </c>
      <c r="DE13" s="75"/>
      <c r="DF13" s="79">
        <f>DE13*0.5</f>
        <v>0</v>
      </c>
      <c r="DG13" s="81">
        <f>DF13+DD13</f>
        <v>31.3125</v>
      </c>
      <c r="DH13" s="18"/>
      <c r="DI13" s="79">
        <f>DB13*0.3</f>
        <v>18.7875</v>
      </c>
      <c r="DJ13" s="75"/>
      <c r="DK13" s="79">
        <f>DJ13*0.7</f>
        <v>0</v>
      </c>
      <c r="DL13" s="81">
        <f>DK13+DI13</f>
        <v>18.7875</v>
      </c>
    </row>
    <row r="14" ht="24.75" customHeight="1">
      <c r="A14" s="105"/>
      <c r="B14" s="106">
        <v>10</v>
      </c>
      <c r="C14" t="s" s="70">
        <v>181</v>
      </c>
      <c r="D14" t="s" s="71">
        <v>182</v>
      </c>
      <c r="E14" t="s" s="72">
        <v>43</v>
      </c>
      <c r="F14" t="s" s="113">
        <v>162</v>
      </c>
      <c r="G14" s="74"/>
      <c r="H14" t="s" s="113">
        <v>43</v>
      </c>
      <c r="I14" t="s" s="72">
        <v>43</v>
      </c>
      <c r="J14" t="s" s="113">
        <v>43</v>
      </c>
      <c r="K14" t="s" s="83">
        <v>161</v>
      </c>
      <c r="L14" t="s" s="83">
        <v>43</v>
      </c>
      <c r="M14" t="s" s="83">
        <v>43</v>
      </c>
      <c r="N14" s="79">
        <v>8</v>
      </c>
      <c r="O14" s="79">
        <v>5</v>
      </c>
      <c r="P14" s="79">
        <v>8</v>
      </c>
      <c r="Q14" s="79">
        <v>8</v>
      </c>
      <c r="R14" s="75"/>
      <c r="S14" s="79">
        <v>8</v>
      </c>
      <c r="T14" s="79">
        <v>9</v>
      </c>
      <c r="U14" s="110">
        <v>9</v>
      </c>
      <c r="V14" s="79">
        <v>10</v>
      </c>
      <c r="W14" s="79">
        <v>15</v>
      </c>
      <c r="X14" s="79">
        <v>3</v>
      </c>
      <c r="Y14" s="108">
        <f>N14+O14+P14+Q14+S14+T14+U14+V14+W14+X14+R14</f>
        <v>83</v>
      </c>
      <c r="Z14" s="79">
        <v>2</v>
      </c>
      <c r="AA14" s="75"/>
      <c r="AB14" s="79">
        <v>10</v>
      </c>
      <c r="AC14" s="110">
        <v>9</v>
      </c>
      <c r="AD14" s="79">
        <v>9</v>
      </c>
      <c r="AE14" s="110">
        <v>15</v>
      </c>
      <c r="AF14" s="79">
        <v>10</v>
      </c>
      <c r="AG14" s="110">
        <v>0</v>
      </c>
      <c r="AH14" s="79">
        <v>23</v>
      </c>
      <c r="AI14" s="111">
        <f>AB14+AC14+AD14+AE14+AF14+AG14+AH14</f>
        <v>76</v>
      </c>
      <c r="AJ14" s="18"/>
      <c r="AK14" s="112">
        <v>10</v>
      </c>
      <c r="AL14" s="110">
        <v>10</v>
      </c>
      <c r="AM14" s="79">
        <v>18</v>
      </c>
      <c r="AN14" s="110">
        <v>20</v>
      </c>
      <c r="AO14" s="79">
        <v>8</v>
      </c>
      <c r="AP14" s="79">
        <v>7</v>
      </c>
      <c r="AQ14" s="110">
        <v>8</v>
      </c>
      <c r="AR14" s="77">
        <v>18</v>
      </c>
      <c r="AS14" s="76"/>
      <c r="AT14" s="77">
        <f>SUM(AL14:AS14)</f>
        <v>89</v>
      </c>
      <c r="AU14" s="18"/>
      <c r="AV14" s="78">
        <v>10</v>
      </c>
      <c r="AW14" s="110">
        <f>AT14+0</f>
        <v>89</v>
      </c>
      <c r="AX14" s="75"/>
      <c r="AY14" s="18"/>
      <c r="AZ14" s="110">
        <f>AI14</f>
        <v>76</v>
      </c>
      <c r="BA14" s="75"/>
      <c r="BB14" s="18"/>
      <c r="BC14" s="110">
        <f>Y14</f>
        <v>83</v>
      </c>
      <c r="BD14" s="75"/>
      <c r="BE14" s="18"/>
      <c r="BF14" s="76"/>
      <c r="BG14" s="75"/>
      <c r="BH14" s="18"/>
      <c r="BI14" s="78">
        <v>10</v>
      </c>
      <c r="BJ14" s="110">
        <f>AT14-1</f>
        <v>88</v>
      </c>
      <c r="BK14" s="75"/>
      <c r="BL14" s="18"/>
      <c r="BM14" s="110">
        <f>AI14-1</f>
        <v>75</v>
      </c>
      <c r="BN14" s="75"/>
      <c r="BO14" s="18"/>
      <c r="BP14" s="110">
        <f>BC14-1</f>
        <v>82</v>
      </c>
      <c r="BQ14" s="75"/>
      <c r="BR14" s="18"/>
      <c r="BS14" s="76"/>
      <c r="BT14" s="75"/>
      <c r="BU14" s="18"/>
      <c r="BV14" s="78">
        <v>10</v>
      </c>
      <c r="BW14" s="110">
        <f>AT14+2</f>
        <v>91</v>
      </c>
      <c r="BX14" s="75"/>
      <c r="BY14" s="18"/>
      <c r="BZ14" s="110">
        <f>AI14+2</f>
        <v>78</v>
      </c>
      <c r="CA14" s="75"/>
      <c r="CB14" s="18"/>
      <c r="CC14" s="110">
        <f>BC14+2</f>
        <v>85</v>
      </c>
      <c r="CD14" s="75"/>
      <c r="CE14" s="18"/>
      <c r="CF14" s="76"/>
      <c r="CG14" s="75"/>
      <c r="CH14" s="18"/>
      <c r="CI14" s="78">
        <v>10</v>
      </c>
      <c r="CJ14" s="110">
        <f>AT14+1</f>
        <v>90</v>
      </c>
      <c r="CK14" s="75"/>
      <c r="CL14" s="18"/>
      <c r="CM14" s="110">
        <f>AI14+1</f>
        <v>77</v>
      </c>
      <c r="CN14" s="75"/>
      <c r="CO14" s="18"/>
      <c r="CP14" s="110">
        <f>BC14+1</f>
        <v>84</v>
      </c>
      <c r="CQ14" s="75"/>
      <c r="CR14" s="18"/>
      <c r="CS14" s="76"/>
      <c r="CT14" s="75"/>
      <c r="CU14" s="18"/>
      <c r="CV14" s="78">
        <v>10</v>
      </c>
      <c r="CW14" s="79">
        <f>(AW14+AZ14+BC14+BF14)/4</f>
        <v>62</v>
      </c>
      <c r="CX14" s="79">
        <f>(BJ14+BM14+BP14+BS14)/4</f>
        <v>61.25</v>
      </c>
      <c r="CY14" s="79">
        <f>(BW14+BZ14+CC14+CF14)/4</f>
        <v>63.5</v>
      </c>
      <c r="CZ14" s="79">
        <f>(CJ14+CM14+CP14+CS14)/4</f>
        <v>62.75</v>
      </c>
      <c r="DA14" s="18"/>
      <c r="DB14" s="80">
        <f>SUM(CW14:CZ14)/4</f>
        <v>62.375</v>
      </c>
      <c r="DC14" s="18"/>
      <c r="DD14" s="79">
        <f>DB14*0.5</f>
        <v>31.1875</v>
      </c>
      <c r="DE14" s="75"/>
      <c r="DF14" s="79">
        <f>DE14*0.5</f>
        <v>0</v>
      </c>
      <c r="DG14" s="81">
        <f>DF14+DD14</f>
        <v>31.1875</v>
      </c>
      <c r="DH14" s="18"/>
      <c r="DI14" s="79">
        <f>DB14*0.3</f>
        <v>18.7125</v>
      </c>
      <c r="DJ14" s="75"/>
      <c r="DK14" s="79">
        <f>DJ14*0.7</f>
        <v>0</v>
      </c>
      <c r="DL14" s="81">
        <f>DK14+DI14</f>
        <v>18.7125</v>
      </c>
    </row>
    <row r="15" ht="24.75" customHeight="1">
      <c r="A15" s="105"/>
      <c r="B15" s="106">
        <v>11</v>
      </c>
      <c r="C15" t="s" s="70">
        <v>183</v>
      </c>
      <c r="D15" t="s" s="71">
        <v>184</v>
      </c>
      <c r="E15" t="s" s="72">
        <v>43</v>
      </c>
      <c r="F15" t="s" s="113">
        <v>43</v>
      </c>
      <c r="G15" s="74"/>
      <c r="H15" t="s" s="113">
        <v>43</v>
      </c>
      <c r="I15" t="s" s="72">
        <v>43</v>
      </c>
      <c r="J15" t="s" s="113">
        <v>43</v>
      </c>
      <c r="K15" t="s" s="83">
        <v>43</v>
      </c>
      <c r="L15" t="s" s="83">
        <v>43</v>
      </c>
      <c r="M15" t="s" s="83">
        <v>43</v>
      </c>
      <c r="N15" s="79">
        <v>10</v>
      </c>
      <c r="O15" s="79">
        <v>15</v>
      </c>
      <c r="P15" s="79">
        <v>9</v>
      </c>
      <c r="Q15" s="79">
        <v>9</v>
      </c>
      <c r="R15" s="75"/>
      <c r="S15" s="79">
        <v>10</v>
      </c>
      <c r="T15" s="79">
        <v>10</v>
      </c>
      <c r="U15" s="110">
        <v>9</v>
      </c>
      <c r="V15" s="79">
        <v>9</v>
      </c>
      <c r="W15" s="79">
        <v>15</v>
      </c>
      <c r="X15" s="79">
        <v>3</v>
      </c>
      <c r="Y15" s="108">
        <f>N15+O15+P15+Q15+S15+T15+U15+V15+W15+X15+R15</f>
        <v>99</v>
      </c>
      <c r="Z15" s="75"/>
      <c r="AA15" s="75"/>
      <c r="AB15" s="79">
        <v>10</v>
      </c>
      <c r="AC15" s="110">
        <v>10</v>
      </c>
      <c r="AD15" s="79">
        <v>10</v>
      </c>
      <c r="AE15" s="110">
        <v>17</v>
      </c>
      <c r="AF15" s="79">
        <v>20</v>
      </c>
      <c r="AG15" s="110">
        <v>10</v>
      </c>
      <c r="AH15" s="79">
        <v>23</v>
      </c>
      <c r="AI15" s="111">
        <f>AB15+AC15+AD15+AE15+AF15+AG15+AH15</f>
        <v>100</v>
      </c>
      <c r="AJ15" s="18"/>
      <c r="AK15" s="112">
        <v>11</v>
      </c>
      <c r="AL15" s="110">
        <v>10</v>
      </c>
      <c r="AM15" s="79">
        <v>19</v>
      </c>
      <c r="AN15" s="110">
        <v>20</v>
      </c>
      <c r="AO15" s="79">
        <v>10</v>
      </c>
      <c r="AP15" s="79">
        <v>0</v>
      </c>
      <c r="AQ15" s="110">
        <v>9</v>
      </c>
      <c r="AR15" s="77">
        <v>18</v>
      </c>
      <c r="AS15" s="76"/>
      <c r="AT15" s="77">
        <f>SUM(AL15:AS15)</f>
        <v>86</v>
      </c>
      <c r="AU15" s="18"/>
      <c r="AV15" s="78">
        <v>11</v>
      </c>
      <c r="AW15" s="110">
        <f>AT15+0</f>
        <v>86</v>
      </c>
      <c r="AX15" s="75"/>
      <c r="AY15" s="18"/>
      <c r="AZ15" s="110">
        <f>AI15</f>
        <v>100</v>
      </c>
      <c r="BA15" s="75"/>
      <c r="BB15" s="18"/>
      <c r="BC15" s="110">
        <f>Y15</f>
        <v>99</v>
      </c>
      <c r="BD15" s="75"/>
      <c r="BE15" s="18"/>
      <c r="BF15" s="76"/>
      <c r="BG15" s="75"/>
      <c r="BH15" s="18"/>
      <c r="BI15" s="78">
        <v>11</v>
      </c>
      <c r="BJ15" s="110">
        <f>AT15-1</f>
        <v>85</v>
      </c>
      <c r="BK15" s="75"/>
      <c r="BL15" s="18"/>
      <c r="BM15" s="110">
        <f>AI15-1</f>
        <v>99</v>
      </c>
      <c r="BN15" s="75"/>
      <c r="BO15" s="18"/>
      <c r="BP15" s="110">
        <f>BC15-1</f>
        <v>98</v>
      </c>
      <c r="BQ15" s="75"/>
      <c r="BR15" s="18"/>
      <c r="BS15" s="76"/>
      <c r="BT15" s="75"/>
      <c r="BU15" s="18"/>
      <c r="BV15" s="78">
        <v>11</v>
      </c>
      <c r="BW15" s="110">
        <f>AT15+2</f>
        <v>88</v>
      </c>
      <c r="BX15" s="75"/>
      <c r="BY15" s="18"/>
      <c r="BZ15" s="110">
        <v>100</v>
      </c>
      <c r="CA15" s="75"/>
      <c r="CB15" s="18"/>
      <c r="CC15" s="110">
        <v>100</v>
      </c>
      <c r="CD15" s="75"/>
      <c r="CE15" s="18"/>
      <c r="CF15" s="76"/>
      <c r="CG15" s="75"/>
      <c r="CH15" s="18"/>
      <c r="CI15" s="78">
        <v>11</v>
      </c>
      <c r="CJ15" s="110">
        <f>AT15+1</f>
        <v>87</v>
      </c>
      <c r="CK15" s="75"/>
      <c r="CL15" s="18"/>
      <c r="CM15" s="110">
        <v>100</v>
      </c>
      <c r="CN15" s="75"/>
      <c r="CO15" s="18"/>
      <c r="CP15" s="110">
        <f>BC15+1</f>
        <v>100</v>
      </c>
      <c r="CQ15" s="75"/>
      <c r="CR15" s="18"/>
      <c r="CS15" s="76"/>
      <c r="CT15" s="75"/>
      <c r="CU15" s="18"/>
      <c r="CV15" s="78">
        <v>11</v>
      </c>
      <c r="CW15" s="79">
        <f>(AW15+AZ15+BC15+BF15)/4</f>
        <v>71.25</v>
      </c>
      <c r="CX15" s="79">
        <f>(BJ15+BM15+BP15+BS15)/4</f>
        <v>70.5</v>
      </c>
      <c r="CY15" s="79">
        <f>(BW15+BZ15+CC15+CF15)/4</f>
        <v>72</v>
      </c>
      <c r="CZ15" s="79">
        <f>(CJ15+CM15+CP15+CS15)/4</f>
        <v>71.75</v>
      </c>
      <c r="DA15" s="18"/>
      <c r="DB15" s="80">
        <f>SUM(CW15:CZ15)/4</f>
        <v>71.375</v>
      </c>
      <c r="DC15" s="18"/>
      <c r="DD15" s="79">
        <f>DB15*0.5</f>
        <v>35.6875</v>
      </c>
      <c r="DE15" s="75"/>
      <c r="DF15" s="79">
        <f>DE15*0.5</f>
        <v>0</v>
      </c>
      <c r="DG15" s="81">
        <f>DF15+DD15</f>
        <v>35.6875</v>
      </c>
      <c r="DH15" s="18"/>
      <c r="DI15" s="79">
        <f>DB15*0.3</f>
        <v>21.4125</v>
      </c>
      <c r="DJ15" s="75"/>
      <c r="DK15" s="79">
        <f>DJ15*0.7</f>
        <v>0</v>
      </c>
      <c r="DL15" s="81">
        <f>DK15+DI15</f>
        <v>21.4125</v>
      </c>
    </row>
    <row r="16" ht="24.75" customHeight="1">
      <c r="A16" s="105"/>
      <c r="B16" s="106">
        <v>12</v>
      </c>
      <c r="C16" t="s" s="70">
        <v>185</v>
      </c>
      <c r="D16" t="s" s="71">
        <v>186</v>
      </c>
      <c r="E16" t="s" s="72">
        <v>163</v>
      </c>
      <c r="F16" t="s" s="113">
        <v>43</v>
      </c>
      <c r="G16" s="74"/>
      <c r="H16" t="s" s="113">
        <v>43</v>
      </c>
      <c r="I16" t="s" s="72">
        <v>43</v>
      </c>
      <c r="J16" t="s" s="113">
        <v>43</v>
      </c>
      <c r="K16" t="s" s="83">
        <v>162</v>
      </c>
      <c r="L16" t="s" s="83">
        <v>43</v>
      </c>
      <c r="M16" t="s" s="83">
        <v>43</v>
      </c>
      <c r="N16" s="79">
        <v>10</v>
      </c>
      <c r="O16" s="79">
        <v>6</v>
      </c>
      <c r="P16" s="79">
        <v>7</v>
      </c>
      <c r="Q16" s="79">
        <v>5</v>
      </c>
      <c r="R16" s="75"/>
      <c r="S16" s="79">
        <v>8</v>
      </c>
      <c r="T16" s="79">
        <v>9</v>
      </c>
      <c r="U16" s="110">
        <v>10</v>
      </c>
      <c r="V16" s="79">
        <v>10</v>
      </c>
      <c r="W16" s="79">
        <v>20</v>
      </c>
      <c r="X16" s="79">
        <v>3</v>
      </c>
      <c r="Y16" s="108">
        <f>N16+O16+P16+Q16+S16+T16+U16+V16+W16+X16+R16</f>
        <v>88</v>
      </c>
      <c r="Z16" s="75"/>
      <c r="AA16" s="75"/>
      <c r="AB16" s="79">
        <v>10</v>
      </c>
      <c r="AC16" s="110">
        <v>8</v>
      </c>
      <c r="AD16" s="79">
        <v>9</v>
      </c>
      <c r="AE16" s="110">
        <v>17</v>
      </c>
      <c r="AF16" s="79">
        <v>15</v>
      </c>
      <c r="AG16" s="110">
        <v>0</v>
      </c>
      <c r="AH16" s="79">
        <v>23</v>
      </c>
      <c r="AI16" s="128">
        <f>AB16+AC16+AD16+AE16+AF16+AG16+AH16</f>
        <v>82</v>
      </c>
      <c r="AJ16" t="s" s="129">
        <v>187</v>
      </c>
      <c r="AK16" s="112">
        <v>12</v>
      </c>
      <c r="AL16" s="110">
        <v>10</v>
      </c>
      <c r="AM16" s="79">
        <v>20</v>
      </c>
      <c r="AN16" t="s" s="130">
        <v>188</v>
      </c>
      <c r="AO16" s="79">
        <v>10</v>
      </c>
      <c r="AP16" s="79">
        <v>5</v>
      </c>
      <c r="AQ16" s="110">
        <v>10</v>
      </c>
      <c r="AR16" s="77">
        <v>18</v>
      </c>
      <c r="AS16" s="76"/>
      <c r="AT16" s="77">
        <f>SUM(AL16:AS16)</f>
        <v>73</v>
      </c>
      <c r="AU16" s="112">
        <v>4</v>
      </c>
      <c r="AV16" s="78">
        <v>12</v>
      </c>
      <c r="AW16" s="110">
        <f>AT16+0</f>
        <v>73</v>
      </c>
      <c r="AX16" s="75"/>
      <c r="AY16" s="18"/>
      <c r="AZ16" s="110">
        <f>AI16</f>
        <v>82</v>
      </c>
      <c r="BA16" s="75"/>
      <c r="BB16" s="18"/>
      <c r="BC16" s="110">
        <f>Y16</f>
        <v>88</v>
      </c>
      <c r="BD16" s="75"/>
      <c r="BE16" s="18"/>
      <c r="BF16" s="76"/>
      <c r="BG16" s="75"/>
      <c r="BH16" s="18"/>
      <c r="BI16" s="78">
        <v>12</v>
      </c>
      <c r="BJ16" s="110">
        <f>AT16-1</f>
        <v>72</v>
      </c>
      <c r="BK16" s="75"/>
      <c r="BL16" s="18"/>
      <c r="BM16" s="110">
        <f>AI16-1</f>
        <v>81</v>
      </c>
      <c r="BN16" s="75"/>
      <c r="BO16" s="18"/>
      <c r="BP16" s="110">
        <f>BC16-1</f>
        <v>87</v>
      </c>
      <c r="BQ16" s="75"/>
      <c r="BR16" s="18"/>
      <c r="BS16" s="76"/>
      <c r="BT16" s="75"/>
      <c r="BU16" s="18"/>
      <c r="BV16" s="78">
        <v>12</v>
      </c>
      <c r="BW16" s="110">
        <f>AT16+2</f>
        <v>75</v>
      </c>
      <c r="BX16" s="75"/>
      <c r="BY16" s="18"/>
      <c r="BZ16" s="110">
        <f>AI16+2</f>
        <v>84</v>
      </c>
      <c r="CA16" s="75"/>
      <c r="CB16" s="18"/>
      <c r="CC16" s="110">
        <f>BC16+2</f>
        <v>90</v>
      </c>
      <c r="CD16" s="75"/>
      <c r="CE16" s="18"/>
      <c r="CF16" s="76"/>
      <c r="CG16" s="75"/>
      <c r="CH16" s="18"/>
      <c r="CI16" s="78">
        <v>12</v>
      </c>
      <c r="CJ16" s="110">
        <f>AT16+1</f>
        <v>74</v>
      </c>
      <c r="CK16" s="75"/>
      <c r="CL16" s="18"/>
      <c r="CM16" s="110">
        <f>AI16+1</f>
        <v>83</v>
      </c>
      <c r="CN16" s="75"/>
      <c r="CO16" s="18"/>
      <c r="CP16" s="110">
        <f>BC16+1</f>
        <v>89</v>
      </c>
      <c r="CQ16" s="75"/>
      <c r="CR16" s="18"/>
      <c r="CS16" s="76"/>
      <c r="CT16" s="75"/>
      <c r="CU16" s="18"/>
      <c r="CV16" s="78">
        <v>12</v>
      </c>
      <c r="CW16" s="79">
        <f>(AW16+AZ16+BC16+BF16)/4</f>
        <v>60.75</v>
      </c>
      <c r="CX16" s="79">
        <f>(BJ16+BM16+BP16+BS16)/4</f>
        <v>60</v>
      </c>
      <c r="CY16" s="79">
        <f>(BW16+BZ16+CC16+CF16)/4</f>
        <v>62.25</v>
      </c>
      <c r="CZ16" s="79">
        <f>(CJ16+CM16+CP16+CS16)/4</f>
        <v>61.5</v>
      </c>
      <c r="DA16" s="18"/>
      <c r="DB16" s="80">
        <f>SUM(CW16:CZ16)/4</f>
        <v>61.125</v>
      </c>
      <c r="DC16" s="18"/>
      <c r="DD16" s="79">
        <f>DB16*0.5</f>
        <v>30.5625</v>
      </c>
      <c r="DE16" s="75"/>
      <c r="DF16" s="79">
        <f>DE16*0.5</f>
        <v>0</v>
      </c>
      <c r="DG16" s="81">
        <f>DF16+DD16</f>
        <v>30.5625</v>
      </c>
      <c r="DH16" s="18"/>
      <c r="DI16" s="79">
        <f>DB16*0.3</f>
        <v>18.3375</v>
      </c>
      <c r="DJ16" s="75"/>
      <c r="DK16" s="79">
        <f>DJ16*0.7</f>
        <v>0</v>
      </c>
      <c r="DL16" s="81">
        <f>DK16+DI16</f>
        <v>18.3375</v>
      </c>
    </row>
    <row r="17" ht="24.75" customHeight="1">
      <c r="A17" s="105"/>
      <c r="B17" s="106">
        <v>13</v>
      </c>
      <c r="C17" t="s" s="70">
        <v>189</v>
      </c>
      <c r="D17" t="s" s="71">
        <v>190</v>
      </c>
      <c r="E17" t="s" s="72">
        <v>43</v>
      </c>
      <c r="F17" t="s" s="113">
        <v>43</v>
      </c>
      <c r="G17" t="s" s="72">
        <v>191</v>
      </c>
      <c r="H17" t="s" s="113">
        <v>43</v>
      </c>
      <c r="I17" t="s" s="72">
        <v>43</v>
      </c>
      <c r="J17" t="s" s="113">
        <v>43</v>
      </c>
      <c r="K17" t="s" s="131">
        <v>161</v>
      </c>
      <c r="L17" t="s" s="131">
        <v>161</v>
      </c>
      <c r="M17" t="s" s="127">
        <v>43</v>
      </c>
      <c r="N17" s="79">
        <v>8</v>
      </c>
      <c r="O17" s="79">
        <v>0</v>
      </c>
      <c r="P17" s="79">
        <v>8</v>
      </c>
      <c r="Q17" s="79">
        <v>8</v>
      </c>
      <c r="R17" s="75"/>
      <c r="S17" s="79">
        <v>7</v>
      </c>
      <c r="T17" s="79">
        <v>8</v>
      </c>
      <c r="U17" s="110">
        <v>8</v>
      </c>
      <c r="V17" s="79">
        <v>9</v>
      </c>
      <c r="W17" s="79">
        <v>0</v>
      </c>
      <c r="X17" s="79">
        <v>5</v>
      </c>
      <c r="Y17" s="126">
        <f>N17+O17+P17+Q17+S17+T17+U17+V17+W17+X17+R17</f>
        <v>61</v>
      </c>
      <c r="Z17" s="75"/>
      <c r="AA17" s="75"/>
      <c r="AB17" s="79">
        <v>8</v>
      </c>
      <c r="AC17" s="110">
        <v>8</v>
      </c>
      <c r="AD17" s="79">
        <v>7</v>
      </c>
      <c r="AE17" s="110">
        <v>0</v>
      </c>
      <c r="AF17" s="79">
        <v>0</v>
      </c>
      <c r="AG17" s="110">
        <v>0</v>
      </c>
      <c r="AH17" s="79">
        <v>23</v>
      </c>
      <c r="AI17" s="111">
        <f>AB17+AC17+AD17+AE17+AF17+AG17+AH17</f>
        <v>46</v>
      </c>
      <c r="AJ17" s="18"/>
      <c r="AK17" s="112">
        <v>13</v>
      </c>
      <c r="AL17" s="110">
        <v>8</v>
      </c>
      <c r="AM17" s="79">
        <v>14</v>
      </c>
      <c r="AN17" s="110">
        <v>20</v>
      </c>
      <c r="AO17" s="79">
        <v>0</v>
      </c>
      <c r="AP17" s="79">
        <v>8</v>
      </c>
      <c r="AQ17" s="110">
        <v>8</v>
      </c>
      <c r="AR17" s="77">
        <v>18</v>
      </c>
      <c r="AS17" s="76"/>
      <c r="AT17" s="77">
        <f>SUM(AL17:AS17)</f>
        <v>76</v>
      </c>
      <c r="AU17" s="18"/>
      <c r="AV17" s="78">
        <v>13</v>
      </c>
      <c r="AW17" s="110">
        <f>AT17+0</f>
        <v>76</v>
      </c>
      <c r="AX17" s="75"/>
      <c r="AY17" s="18"/>
      <c r="AZ17" s="110">
        <f>AI17</f>
        <v>46</v>
      </c>
      <c r="BA17" s="79">
        <v>50</v>
      </c>
      <c r="BB17" s="18"/>
      <c r="BC17" s="110">
        <f>Y17</f>
        <v>61</v>
      </c>
      <c r="BD17" s="75"/>
      <c r="BE17" s="18"/>
      <c r="BF17" s="76"/>
      <c r="BG17" s="75"/>
      <c r="BH17" s="18"/>
      <c r="BI17" s="78">
        <v>13</v>
      </c>
      <c r="BJ17" s="110">
        <f>AT17-1</f>
        <v>75</v>
      </c>
      <c r="BK17" s="75"/>
      <c r="BL17" s="18"/>
      <c r="BM17" s="110">
        <f>AI17-1</f>
        <v>45</v>
      </c>
      <c r="BN17" s="79">
        <v>50</v>
      </c>
      <c r="BO17" s="18"/>
      <c r="BP17" s="110">
        <f>BC17-1</f>
        <v>60</v>
      </c>
      <c r="BQ17" s="75"/>
      <c r="BR17" s="18"/>
      <c r="BS17" s="76"/>
      <c r="BT17" s="75"/>
      <c r="BU17" s="18"/>
      <c r="BV17" s="78">
        <v>13</v>
      </c>
      <c r="BW17" s="110">
        <f>AT17+2</f>
        <v>78</v>
      </c>
      <c r="BX17" s="75"/>
      <c r="BY17" s="18"/>
      <c r="BZ17" s="110">
        <f>AI17+2</f>
        <v>48</v>
      </c>
      <c r="CA17" s="79">
        <v>50</v>
      </c>
      <c r="CB17" s="18"/>
      <c r="CC17" s="110">
        <f>BC17+2</f>
        <v>63</v>
      </c>
      <c r="CD17" s="75"/>
      <c r="CE17" s="18"/>
      <c r="CF17" s="76"/>
      <c r="CG17" s="75"/>
      <c r="CH17" s="18"/>
      <c r="CI17" s="78">
        <v>13</v>
      </c>
      <c r="CJ17" s="110">
        <f>AT17+1</f>
        <v>77</v>
      </c>
      <c r="CK17" s="75"/>
      <c r="CL17" s="18"/>
      <c r="CM17" s="110">
        <f>AI17+1</f>
        <v>47</v>
      </c>
      <c r="CN17" s="79">
        <v>50</v>
      </c>
      <c r="CO17" s="18"/>
      <c r="CP17" s="110">
        <f>BC17+1</f>
        <v>62</v>
      </c>
      <c r="CQ17" s="75"/>
      <c r="CR17" s="18"/>
      <c r="CS17" s="76"/>
      <c r="CT17" s="75"/>
      <c r="CU17" s="18"/>
      <c r="CV17" s="78">
        <v>13</v>
      </c>
      <c r="CW17" s="79">
        <f>(AW17+AZ17+BC17+BF17)/4</f>
        <v>45.75</v>
      </c>
      <c r="CX17" s="79">
        <f>(BJ17+BM17+BP17+BS17)/4</f>
        <v>45</v>
      </c>
      <c r="CY17" s="79">
        <f>(BW17+BZ17+CC17+CF17)/4</f>
        <v>47.25</v>
      </c>
      <c r="CZ17" s="79">
        <f>(CJ17+CM17+CP17+CS17)/4</f>
        <v>46.5</v>
      </c>
      <c r="DA17" s="18"/>
      <c r="DB17" s="80">
        <f>SUM(CW17:CZ17)/4</f>
        <v>46.125</v>
      </c>
      <c r="DC17" s="18"/>
      <c r="DD17" s="79">
        <f>DB17*0.5</f>
        <v>23.0625</v>
      </c>
      <c r="DE17" s="75"/>
      <c r="DF17" s="79">
        <f>DE17*0.5</f>
        <v>0</v>
      </c>
      <c r="DG17" s="81">
        <f>DF17+DD17</f>
        <v>23.0625</v>
      </c>
      <c r="DH17" s="18"/>
      <c r="DI17" s="79">
        <f>DB17*0.3</f>
        <v>13.8375</v>
      </c>
      <c r="DJ17" s="75"/>
      <c r="DK17" s="79">
        <f>DJ17*0.7</f>
        <v>0</v>
      </c>
      <c r="DL17" s="81">
        <f>DK17+DI17</f>
        <v>13.8375</v>
      </c>
    </row>
    <row r="18" ht="24.75" customHeight="1">
      <c r="A18" s="105"/>
      <c r="B18" s="106">
        <v>14</v>
      </c>
      <c r="C18" t="s" s="70">
        <v>192</v>
      </c>
      <c r="D18" t="s" s="71">
        <v>193</v>
      </c>
      <c r="E18" t="s" s="72">
        <v>43</v>
      </c>
      <c r="F18" t="s" s="113">
        <v>43</v>
      </c>
      <c r="G18" s="74"/>
      <c r="H18" t="s" s="113">
        <v>43</v>
      </c>
      <c r="I18" t="s" s="72">
        <v>43</v>
      </c>
      <c r="J18" t="s" s="113">
        <v>43</v>
      </c>
      <c r="K18" t="s" s="83">
        <v>162</v>
      </c>
      <c r="L18" t="s" s="83">
        <v>43</v>
      </c>
      <c r="M18" t="s" s="83">
        <v>194</v>
      </c>
      <c r="N18" s="132">
        <v>10</v>
      </c>
      <c r="O18" s="133">
        <v>0</v>
      </c>
      <c r="P18" s="133">
        <v>7</v>
      </c>
      <c r="Q18" s="133">
        <v>8</v>
      </c>
      <c r="R18" s="133">
        <v>2</v>
      </c>
      <c r="S18" s="133">
        <v>10</v>
      </c>
      <c r="T18" s="134">
        <v>9</v>
      </c>
      <c r="U18" s="110">
        <v>8</v>
      </c>
      <c r="V18" s="79">
        <v>7</v>
      </c>
      <c r="W18" s="79">
        <v>20</v>
      </c>
      <c r="X18" s="79">
        <v>3</v>
      </c>
      <c r="Y18" s="108">
        <f>N18+O18+P18+Q18+S18+T18+U18+V18+W18+X18+R18</f>
        <v>84</v>
      </c>
      <c r="Z18" t="s" s="83">
        <v>195</v>
      </c>
      <c r="AA18" s="75"/>
      <c r="AB18" s="79">
        <v>10</v>
      </c>
      <c r="AC18" s="110">
        <v>10</v>
      </c>
      <c r="AD18" s="79">
        <v>7</v>
      </c>
      <c r="AE18" s="110">
        <v>17</v>
      </c>
      <c r="AF18" s="79">
        <v>10</v>
      </c>
      <c r="AG18" s="110">
        <v>5</v>
      </c>
      <c r="AH18" s="79">
        <v>23</v>
      </c>
      <c r="AI18" s="128">
        <f>AB18+AC18+AD18+AE18+AF18+AG18+AH18</f>
        <v>82</v>
      </c>
      <c r="AJ18" t="s" s="129">
        <v>196</v>
      </c>
      <c r="AK18" s="112">
        <v>14</v>
      </c>
      <c r="AL18" s="110">
        <v>10</v>
      </c>
      <c r="AM18" s="79">
        <v>0</v>
      </c>
      <c r="AN18" s="110">
        <v>20</v>
      </c>
      <c r="AO18" s="79">
        <v>10</v>
      </c>
      <c r="AP18" s="79">
        <v>0</v>
      </c>
      <c r="AQ18" s="110">
        <v>10</v>
      </c>
      <c r="AR18" s="77">
        <v>18</v>
      </c>
      <c r="AS18" s="76"/>
      <c r="AT18" s="77">
        <f>SUM(AL18:AS18)</f>
        <v>68</v>
      </c>
      <c r="AU18" t="s" s="129">
        <v>197</v>
      </c>
      <c r="AV18" s="78">
        <v>14</v>
      </c>
      <c r="AW18" s="110">
        <f>AT18+0</f>
        <v>68</v>
      </c>
      <c r="AX18" s="79">
        <v>69</v>
      </c>
      <c r="AY18" s="18"/>
      <c r="AZ18" s="110">
        <f>AI18</f>
        <v>82</v>
      </c>
      <c r="BA18" s="75"/>
      <c r="BB18" s="18"/>
      <c r="BC18" s="110">
        <f>Y18</f>
        <v>84</v>
      </c>
      <c r="BD18" s="75"/>
      <c r="BE18" s="18"/>
      <c r="BF18" s="76"/>
      <c r="BG18" s="75"/>
      <c r="BH18" s="18"/>
      <c r="BI18" s="78">
        <v>14</v>
      </c>
      <c r="BJ18" s="110">
        <f>AT18-1</f>
        <v>67</v>
      </c>
      <c r="BK18" s="79">
        <v>69</v>
      </c>
      <c r="BL18" s="18"/>
      <c r="BM18" s="110">
        <f>AI18-1</f>
        <v>81</v>
      </c>
      <c r="BN18" s="75"/>
      <c r="BO18" s="18"/>
      <c r="BP18" s="110">
        <f>BC18-1</f>
        <v>83</v>
      </c>
      <c r="BQ18" s="75"/>
      <c r="BR18" s="18"/>
      <c r="BS18" s="76"/>
      <c r="BT18" s="75"/>
      <c r="BU18" s="18"/>
      <c r="BV18" s="78">
        <v>14</v>
      </c>
      <c r="BW18" s="110">
        <f>AT18+2</f>
        <v>70</v>
      </c>
      <c r="BX18" s="75"/>
      <c r="BY18" s="18"/>
      <c r="BZ18" s="110">
        <f>AI18+2</f>
        <v>84</v>
      </c>
      <c r="CA18" s="75"/>
      <c r="CB18" s="18"/>
      <c r="CC18" s="110">
        <f>BC18+2</f>
        <v>86</v>
      </c>
      <c r="CD18" s="75"/>
      <c r="CE18" s="18"/>
      <c r="CF18" s="76"/>
      <c r="CG18" s="75"/>
      <c r="CH18" s="18"/>
      <c r="CI18" s="78">
        <v>14</v>
      </c>
      <c r="CJ18" s="110">
        <f>AT18+1</f>
        <v>69</v>
      </c>
      <c r="CK18" s="79">
        <v>69</v>
      </c>
      <c r="CL18" s="18"/>
      <c r="CM18" s="110">
        <f>AI18+1</f>
        <v>83</v>
      </c>
      <c r="CN18" s="75"/>
      <c r="CO18" s="18"/>
      <c r="CP18" s="110">
        <f>BC18+1</f>
        <v>85</v>
      </c>
      <c r="CQ18" s="75"/>
      <c r="CR18" s="18"/>
      <c r="CS18" s="76"/>
      <c r="CT18" s="75"/>
      <c r="CU18" s="18"/>
      <c r="CV18" s="78">
        <v>14</v>
      </c>
      <c r="CW18" s="79">
        <f>(AW18+AZ18+BC18+BF18)/4</f>
        <v>58.5</v>
      </c>
      <c r="CX18" s="79">
        <f>(BJ18+BM18+BP18+BS18)/4</f>
        <v>57.75</v>
      </c>
      <c r="CY18" s="79">
        <f>(BW18+BZ18+CC18+CF18)/4</f>
        <v>60</v>
      </c>
      <c r="CZ18" s="79">
        <f>(CJ18+CM18+CP18+CS18)/4</f>
        <v>59.25</v>
      </c>
      <c r="DA18" s="18"/>
      <c r="DB18" s="80">
        <f>SUM(CW18:CZ18)/4</f>
        <v>58.875</v>
      </c>
      <c r="DC18" s="18"/>
      <c r="DD18" s="79">
        <f>DB18*0.5</f>
        <v>29.4375</v>
      </c>
      <c r="DE18" s="75"/>
      <c r="DF18" s="79">
        <f>DE18*0.5</f>
        <v>0</v>
      </c>
      <c r="DG18" s="81">
        <f>DF18+DD18</f>
        <v>29.4375</v>
      </c>
      <c r="DH18" s="18"/>
      <c r="DI18" s="79">
        <f>DB18*0.3</f>
        <v>17.6625</v>
      </c>
      <c r="DJ18" s="75"/>
      <c r="DK18" s="79">
        <f>DJ18*0.7</f>
        <v>0</v>
      </c>
      <c r="DL18" s="81">
        <f>DK18+DI18</f>
        <v>17.6625</v>
      </c>
    </row>
    <row r="19" ht="24.75" customHeight="1">
      <c r="A19" s="105"/>
      <c r="B19" s="106">
        <v>15</v>
      </c>
      <c r="C19" t="s" s="70">
        <v>198</v>
      </c>
      <c r="D19" t="s" s="71">
        <v>199</v>
      </c>
      <c r="E19" t="s" s="72">
        <v>161</v>
      </c>
      <c r="F19" t="s" s="113">
        <v>161</v>
      </c>
      <c r="G19" s="74"/>
      <c r="H19" t="s" s="113">
        <v>43</v>
      </c>
      <c r="I19" t="s" s="72">
        <v>43</v>
      </c>
      <c r="J19" t="s" s="113">
        <v>161</v>
      </c>
      <c r="K19" t="s" s="83">
        <v>161</v>
      </c>
      <c r="L19" t="s" s="83">
        <v>43</v>
      </c>
      <c r="M19" t="s" s="83">
        <v>161</v>
      </c>
      <c r="N19" s="79">
        <v>6</v>
      </c>
      <c r="O19" s="79">
        <v>10</v>
      </c>
      <c r="P19" s="79">
        <v>0</v>
      </c>
      <c r="Q19" s="75"/>
      <c r="R19" s="75"/>
      <c r="S19" s="79">
        <v>7</v>
      </c>
      <c r="T19" s="79">
        <v>8</v>
      </c>
      <c r="U19" s="110">
        <v>10</v>
      </c>
      <c r="V19" s="79">
        <v>7</v>
      </c>
      <c r="W19" s="79">
        <v>12</v>
      </c>
      <c r="X19" s="79">
        <v>3</v>
      </c>
      <c r="Y19" s="126">
        <f>N19+O19+P19+Q19+S19+T19+U19+V19+W19+X19+R19</f>
        <v>63</v>
      </c>
      <c r="Z19" s="75"/>
      <c r="AA19" s="75"/>
      <c r="AB19" s="79">
        <v>10</v>
      </c>
      <c r="AC19" s="110">
        <v>8</v>
      </c>
      <c r="AD19" s="79">
        <v>8</v>
      </c>
      <c r="AE19" s="110">
        <v>17</v>
      </c>
      <c r="AF19" s="79">
        <v>0</v>
      </c>
      <c r="AG19" s="110">
        <v>0</v>
      </c>
      <c r="AH19" s="79">
        <v>23</v>
      </c>
      <c r="AI19" s="111">
        <f>AB19+AC19+AD19+AE19+AF19+AG19+AH19</f>
        <v>66</v>
      </c>
      <c r="AJ19" s="18"/>
      <c r="AK19" s="112">
        <v>15</v>
      </c>
      <c r="AL19" s="110">
        <v>6</v>
      </c>
      <c r="AM19" s="79">
        <v>0</v>
      </c>
      <c r="AN19" s="110">
        <v>20</v>
      </c>
      <c r="AO19" s="79">
        <v>0</v>
      </c>
      <c r="AP19" s="79">
        <v>0</v>
      </c>
      <c r="AQ19" s="110">
        <v>8</v>
      </c>
      <c r="AR19" s="77">
        <v>18</v>
      </c>
      <c r="AS19" s="76"/>
      <c r="AT19" s="77">
        <f>SUM(AL19:AS19)</f>
        <v>52</v>
      </c>
      <c r="AU19" s="112">
        <v>52</v>
      </c>
      <c r="AV19" s="78">
        <v>15</v>
      </c>
      <c r="AW19" s="110">
        <f>AT19+0</f>
        <v>52</v>
      </c>
      <c r="AX19" s="79">
        <v>55</v>
      </c>
      <c r="AY19" s="18"/>
      <c r="AZ19" s="110">
        <f>AI19</f>
        <v>66</v>
      </c>
      <c r="BA19" s="79">
        <v>67</v>
      </c>
      <c r="BB19" s="18"/>
      <c r="BC19" s="110">
        <f>Y19</f>
        <v>63</v>
      </c>
      <c r="BD19" s="75"/>
      <c r="BE19" s="18"/>
      <c r="BF19" s="76"/>
      <c r="BG19" s="75"/>
      <c r="BH19" s="18"/>
      <c r="BI19" s="78">
        <v>15</v>
      </c>
      <c r="BJ19" s="110">
        <f>AT19-1</f>
        <v>51</v>
      </c>
      <c r="BK19" s="79">
        <v>55</v>
      </c>
      <c r="BL19" s="18"/>
      <c r="BM19" s="110">
        <f>AI19-1</f>
        <v>65</v>
      </c>
      <c r="BN19" s="79">
        <v>67</v>
      </c>
      <c r="BO19" s="18"/>
      <c r="BP19" s="110">
        <f>BC19-1</f>
        <v>62</v>
      </c>
      <c r="BQ19" s="75"/>
      <c r="BR19" s="18"/>
      <c r="BS19" s="76"/>
      <c r="BT19" s="75"/>
      <c r="BU19" s="18"/>
      <c r="BV19" s="78">
        <v>15</v>
      </c>
      <c r="BW19" s="110">
        <f>AT19+2</f>
        <v>54</v>
      </c>
      <c r="BX19" s="79">
        <v>55</v>
      </c>
      <c r="BY19" s="18"/>
      <c r="BZ19" s="110">
        <f>AI19+2</f>
        <v>68</v>
      </c>
      <c r="CA19" s="79">
        <v>67</v>
      </c>
      <c r="CB19" s="18"/>
      <c r="CC19" s="110">
        <f>BC19+2</f>
        <v>65</v>
      </c>
      <c r="CD19" s="75"/>
      <c r="CE19" s="18"/>
      <c r="CF19" s="76"/>
      <c r="CG19" s="75"/>
      <c r="CH19" s="18"/>
      <c r="CI19" s="78">
        <v>15</v>
      </c>
      <c r="CJ19" s="110">
        <f>AT19+1</f>
        <v>53</v>
      </c>
      <c r="CK19" s="79">
        <v>55</v>
      </c>
      <c r="CL19" s="18"/>
      <c r="CM19" s="110">
        <f>AI19+1</f>
        <v>67</v>
      </c>
      <c r="CN19" s="79">
        <v>67</v>
      </c>
      <c r="CO19" s="18"/>
      <c r="CP19" s="110">
        <f>BC19+1</f>
        <v>64</v>
      </c>
      <c r="CQ19" s="75"/>
      <c r="CR19" s="18"/>
      <c r="CS19" s="76"/>
      <c r="CT19" s="75"/>
      <c r="CU19" s="18"/>
      <c r="CV19" s="78">
        <v>15</v>
      </c>
      <c r="CW19" s="79">
        <f>(AW19+AZ19+BC19+BF19)/4</f>
        <v>45.25</v>
      </c>
      <c r="CX19" s="79">
        <f>(BJ19+BM19+BP19+BS19)/4</f>
        <v>44.5</v>
      </c>
      <c r="CY19" s="79">
        <f>(BW19+BZ19+CC19+CF19)/4</f>
        <v>46.75</v>
      </c>
      <c r="CZ19" s="79">
        <f>(CJ19+CM19+CP19+CS19)/4</f>
        <v>46</v>
      </c>
      <c r="DA19" s="18"/>
      <c r="DB19" s="80">
        <f>SUM(CW19:CZ19)/4</f>
        <v>45.625</v>
      </c>
      <c r="DC19" s="18"/>
      <c r="DD19" s="79">
        <f>DB19*0.5</f>
        <v>22.8125</v>
      </c>
      <c r="DE19" s="75"/>
      <c r="DF19" s="79">
        <f>DE19*0.5</f>
        <v>0</v>
      </c>
      <c r="DG19" s="81">
        <f>DF19+DD19</f>
        <v>22.8125</v>
      </c>
      <c r="DH19" s="18"/>
      <c r="DI19" s="79">
        <f>DB19*0.3</f>
        <v>13.6875</v>
      </c>
      <c r="DJ19" s="75"/>
      <c r="DK19" s="79">
        <f>DJ19*0.7</f>
        <v>0</v>
      </c>
      <c r="DL19" s="81">
        <f>DK19+DI19</f>
        <v>13.6875</v>
      </c>
    </row>
    <row r="20" ht="24.75" customHeight="1">
      <c r="A20" s="105"/>
      <c r="B20" s="106">
        <v>16</v>
      </c>
      <c r="C20" t="s" s="70">
        <v>200</v>
      </c>
      <c r="D20" t="s" s="71">
        <v>201</v>
      </c>
      <c r="E20" t="s" s="72">
        <v>43</v>
      </c>
      <c r="F20" t="s" s="113">
        <v>43</v>
      </c>
      <c r="G20" s="74"/>
      <c r="H20" t="s" s="113">
        <v>43</v>
      </c>
      <c r="I20" t="s" s="72">
        <v>43</v>
      </c>
      <c r="J20" t="s" s="113">
        <v>43</v>
      </c>
      <c r="K20" t="s" s="83">
        <v>162</v>
      </c>
      <c r="L20" t="s" s="83">
        <v>43</v>
      </c>
      <c r="M20" t="s" s="83">
        <v>43</v>
      </c>
      <c r="N20" s="79">
        <v>10</v>
      </c>
      <c r="O20" s="79">
        <v>10</v>
      </c>
      <c r="P20" s="79">
        <v>7</v>
      </c>
      <c r="Q20" s="75"/>
      <c r="R20" s="75"/>
      <c r="S20" s="79">
        <v>9</v>
      </c>
      <c r="T20" s="79">
        <v>9</v>
      </c>
      <c r="U20" s="110">
        <v>8</v>
      </c>
      <c r="V20" s="79">
        <v>8</v>
      </c>
      <c r="W20" s="79">
        <v>20</v>
      </c>
      <c r="X20" s="79">
        <v>3</v>
      </c>
      <c r="Y20" s="108">
        <f>N20+O20+P20+Q20+S20+T20+U20+V20+W20+X20+R20</f>
        <v>84</v>
      </c>
      <c r="Z20" s="75"/>
      <c r="AA20" s="75"/>
      <c r="AB20" s="79">
        <v>10</v>
      </c>
      <c r="AC20" s="110">
        <v>10</v>
      </c>
      <c r="AD20" s="79">
        <v>10</v>
      </c>
      <c r="AE20" s="110">
        <v>17</v>
      </c>
      <c r="AF20" s="79">
        <v>8</v>
      </c>
      <c r="AG20" s="110">
        <v>0</v>
      </c>
      <c r="AH20" s="79">
        <v>23</v>
      </c>
      <c r="AI20" s="128">
        <f>AB20+AC20+AD20+AE20+AF20+AG20+AH20</f>
        <v>78</v>
      </c>
      <c r="AJ20" t="s" s="129">
        <v>202</v>
      </c>
      <c r="AK20" s="112">
        <v>16</v>
      </c>
      <c r="AL20" s="110">
        <v>10</v>
      </c>
      <c r="AM20" s="79">
        <v>19</v>
      </c>
      <c r="AN20" s="110">
        <v>20</v>
      </c>
      <c r="AO20" s="79">
        <v>10</v>
      </c>
      <c r="AP20" s="79">
        <v>0</v>
      </c>
      <c r="AQ20" s="110">
        <v>10</v>
      </c>
      <c r="AR20" s="77">
        <v>18</v>
      </c>
      <c r="AS20" s="76"/>
      <c r="AT20" s="77">
        <f>SUM(AL20:AS20)</f>
        <v>87</v>
      </c>
      <c r="AU20" s="18"/>
      <c r="AV20" s="78">
        <v>16</v>
      </c>
      <c r="AW20" s="110">
        <f>AT20+0</f>
        <v>87</v>
      </c>
      <c r="AX20" s="75"/>
      <c r="AY20" s="18"/>
      <c r="AZ20" s="110">
        <f>AI20</f>
        <v>78</v>
      </c>
      <c r="BA20" s="75"/>
      <c r="BB20" s="18"/>
      <c r="BC20" s="110">
        <f>Y20</f>
        <v>84</v>
      </c>
      <c r="BD20" s="75"/>
      <c r="BE20" s="18"/>
      <c r="BF20" s="76"/>
      <c r="BG20" s="75"/>
      <c r="BH20" s="18"/>
      <c r="BI20" s="78">
        <v>16</v>
      </c>
      <c r="BJ20" s="110">
        <f>AT20-1</f>
        <v>86</v>
      </c>
      <c r="BK20" s="75"/>
      <c r="BL20" s="18"/>
      <c r="BM20" s="110">
        <f>AI20-1</f>
        <v>77</v>
      </c>
      <c r="BN20" s="75"/>
      <c r="BO20" s="18"/>
      <c r="BP20" s="110">
        <f>BC20-1</f>
        <v>83</v>
      </c>
      <c r="BQ20" s="75"/>
      <c r="BR20" s="18"/>
      <c r="BS20" s="76"/>
      <c r="BT20" s="75"/>
      <c r="BU20" s="18"/>
      <c r="BV20" s="78">
        <v>16</v>
      </c>
      <c r="BW20" s="110">
        <f>AT20+2</f>
        <v>89</v>
      </c>
      <c r="BX20" s="75"/>
      <c r="BY20" s="18"/>
      <c r="BZ20" s="110">
        <f>AI20+2</f>
        <v>80</v>
      </c>
      <c r="CA20" s="75"/>
      <c r="CB20" s="18"/>
      <c r="CC20" s="110">
        <f>BC20+2</f>
        <v>86</v>
      </c>
      <c r="CD20" s="75"/>
      <c r="CE20" s="18"/>
      <c r="CF20" s="76"/>
      <c r="CG20" s="75"/>
      <c r="CH20" s="18"/>
      <c r="CI20" s="78">
        <v>16</v>
      </c>
      <c r="CJ20" s="110">
        <f>AT20+1</f>
        <v>88</v>
      </c>
      <c r="CK20" s="75"/>
      <c r="CL20" s="18"/>
      <c r="CM20" s="110">
        <f>AI20+1</f>
        <v>79</v>
      </c>
      <c r="CN20" s="75"/>
      <c r="CO20" s="18"/>
      <c r="CP20" s="110">
        <f>BC20+1</f>
        <v>85</v>
      </c>
      <c r="CQ20" s="75"/>
      <c r="CR20" s="18"/>
      <c r="CS20" s="76"/>
      <c r="CT20" s="75"/>
      <c r="CU20" s="18"/>
      <c r="CV20" s="78">
        <v>16</v>
      </c>
      <c r="CW20" s="79">
        <f>(AW20+AZ20+BC20+BF20)/4</f>
        <v>62.25</v>
      </c>
      <c r="CX20" s="79">
        <f>(BJ20+BM20+BP20+BS20)/4</f>
        <v>61.5</v>
      </c>
      <c r="CY20" s="79">
        <f>(BW20+BZ20+CC20+CF20)/4</f>
        <v>63.75</v>
      </c>
      <c r="CZ20" s="79">
        <f>(CJ20+CM20+CP20+CS20)/4</f>
        <v>63</v>
      </c>
      <c r="DA20" s="18"/>
      <c r="DB20" s="80">
        <f>SUM(CW20:CZ20)/4</f>
        <v>62.625</v>
      </c>
      <c r="DC20" s="18"/>
      <c r="DD20" s="79">
        <f>DB20*0.5</f>
        <v>31.3125</v>
      </c>
      <c r="DE20" s="75"/>
      <c r="DF20" s="79">
        <f>DE20*0.5</f>
        <v>0</v>
      </c>
      <c r="DG20" s="81">
        <f>DF20+DD20</f>
        <v>31.3125</v>
      </c>
      <c r="DH20" s="18"/>
      <c r="DI20" s="79">
        <f>DB20*0.3</f>
        <v>18.7875</v>
      </c>
      <c r="DJ20" s="75"/>
      <c r="DK20" s="79">
        <f>DJ20*0.7</f>
        <v>0</v>
      </c>
      <c r="DL20" s="81">
        <f>DK20+DI20</f>
        <v>18.7875</v>
      </c>
    </row>
    <row r="21" ht="24.75" customHeight="1">
      <c r="A21" s="105"/>
      <c r="B21" s="106">
        <v>17</v>
      </c>
      <c r="C21" t="s" s="70">
        <v>203</v>
      </c>
      <c r="D21" t="s" s="71">
        <v>204</v>
      </c>
      <c r="E21" t="s" s="72">
        <v>43</v>
      </c>
      <c r="F21" t="s" s="113">
        <v>205</v>
      </c>
      <c r="G21" s="74"/>
      <c r="H21" t="s" s="113">
        <v>43</v>
      </c>
      <c r="I21" t="s" s="72">
        <v>43</v>
      </c>
      <c r="J21" t="s" s="113">
        <v>43</v>
      </c>
      <c r="K21" t="s" s="83">
        <v>43</v>
      </c>
      <c r="L21" t="s" s="83">
        <v>43</v>
      </c>
      <c r="M21" t="s" s="83">
        <v>163</v>
      </c>
      <c r="N21" s="79">
        <v>10</v>
      </c>
      <c r="O21" s="79">
        <v>6</v>
      </c>
      <c r="P21" s="79">
        <v>0</v>
      </c>
      <c r="Q21" s="75"/>
      <c r="R21" s="75"/>
      <c r="S21" s="79">
        <v>6</v>
      </c>
      <c r="T21" s="79">
        <v>9</v>
      </c>
      <c r="U21" s="110">
        <v>10</v>
      </c>
      <c r="V21" s="79">
        <v>10</v>
      </c>
      <c r="W21" s="79">
        <v>0</v>
      </c>
      <c r="X21" s="79">
        <v>3</v>
      </c>
      <c r="Y21" s="126">
        <f>N21+O21+P21+Q21+S21+T21+U21+V21+W21+X21+R21</f>
        <v>54</v>
      </c>
      <c r="Z21" s="75"/>
      <c r="AA21" s="75"/>
      <c r="AB21" s="79">
        <v>10</v>
      </c>
      <c r="AC21" s="110">
        <v>7</v>
      </c>
      <c r="AD21" s="79">
        <v>10</v>
      </c>
      <c r="AE21" s="110">
        <v>0</v>
      </c>
      <c r="AF21" s="79">
        <v>0</v>
      </c>
      <c r="AG21" s="110">
        <v>0</v>
      </c>
      <c r="AH21" s="79">
        <v>23</v>
      </c>
      <c r="AI21" s="111">
        <f>AB21+AC21+AD21+AE21+AF21+AG21+AH21</f>
        <v>50</v>
      </c>
      <c r="AJ21" s="18"/>
      <c r="AK21" s="112">
        <v>17</v>
      </c>
      <c r="AL21" s="110">
        <v>7</v>
      </c>
      <c r="AM21" s="79">
        <v>0</v>
      </c>
      <c r="AN21" s="110">
        <v>5</v>
      </c>
      <c r="AO21" s="79">
        <v>0</v>
      </c>
      <c r="AP21" s="79">
        <v>0</v>
      </c>
      <c r="AQ21" s="110">
        <v>8</v>
      </c>
      <c r="AR21" s="77">
        <v>18</v>
      </c>
      <c r="AS21" s="76"/>
      <c r="AT21" s="77">
        <f>SUM(AL21:AS21)</f>
        <v>38</v>
      </c>
      <c r="AU21" s="112">
        <v>38</v>
      </c>
      <c r="AV21" s="78">
        <v>17</v>
      </c>
      <c r="AW21" s="110">
        <f>AT21+0</f>
        <v>38</v>
      </c>
      <c r="AX21" s="79">
        <v>40</v>
      </c>
      <c r="AY21" s="18"/>
      <c r="AZ21" s="110">
        <f>AI21</f>
        <v>50</v>
      </c>
      <c r="BA21" s="79">
        <v>55</v>
      </c>
      <c r="BB21" s="18"/>
      <c r="BC21" s="110">
        <f>Y21</f>
        <v>54</v>
      </c>
      <c r="BD21" s="75"/>
      <c r="BE21" s="18"/>
      <c r="BF21" s="76"/>
      <c r="BG21" s="75"/>
      <c r="BH21" s="18"/>
      <c r="BI21" s="78">
        <v>17</v>
      </c>
      <c r="BJ21" s="110">
        <f>AT21-1</f>
        <v>37</v>
      </c>
      <c r="BK21" s="79">
        <v>40</v>
      </c>
      <c r="BL21" s="18"/>
      <c r="BM21" s="110">
        <f>AI21-1</f>
        <v>49</v>
      </c>
      <c r="BN21" s="79">
        <v>55</v>
      </c>
      <c r="BO21" s="18"/>
      <c r="BP21" s="110">
        <f>BC21-1</f>
        <v>53</v>
      </c>
      <c r="BQ21" s="75"/>
      <c r="BR21" s="18"/>
      <c r="BS21" s="76"/>
      <c r="BT21" s="75"/>
      <c r="BU21" s="18"/>
      <c r="BV21" s="78">
        <v>17</v>
      </c>
      <c r="BW21" s="110">
        <f>AT21+2</f>
        <v>40</v>
      </c>
      <c r="BX21" s="79">
        <v>41</v>
      </c>
      <c r="BY21" s="18"/>
      <c r="BZ21" s="110">
        <f>AI21+2</f>
        <v>52</v>
      </c>
      <c r="CA21" s="79">
        <v>55</v>
      </c>
      <c r="CB21" s="18"/>
      <c r="CC21" s="110">
        <f>BC21+2</f>
        <v>56</v>
      </c>
      <c r="CD21" s="75"/>
      <c r="CE21" s="18"/>
      <c r="CF21" s="76"/>
      <c r="CG21" s="75"/>
      <c r="CH21" s="18"/>
      <c r="CI21" s="78">
        <v>17</v>
      </c>
      <c r="CJ21" s="110">
        <f>AT21+1</f>
        <v>39</v>
      </c>
      <c r="CK21" s="79">
        <v>40</v>
      </c>
      <c r="CL21" s="18"/>
      <c r="CM21" s="110">
        <f>AI21+1</f>
        <v>51</v>
      </c>
      <c r="CN21" s="79">
        <v>55</v>
      </c>
      <c r="CO21" s="18"/>
      <c r="CP21" s="110">
        <f>BC21+1</f>
        <v>55</v>
      </c>
      <c r="CQ21" s="75"/>
      <c r="CR21" s="18"/>
      <c r="CS21" s="76"/>
      <c r="CT21" s="75"/>
      <c r="CU21" s="18"/>
      <c r="CV21" s="78">
        <v>17</v>
      </c>
      <c r="CW21" s="79">
        <f>(AW21+AZ21+BC21+BF21)/4</f>
        <v>35.5</v>
      </c>
      <c r="CX21" s="79">
        <f>(BJ21+BM21+BP21+BS21)/4</f>
        <v>34.75</v>
      </c>
      <c r="CY21" s="79">
        <f>(BW21+BZ21+CC21+CF21)/4</f>
        <v>37</v>
      </c>
      <c r="CZ21" s="79">
        <f>(CJ21+CM21+CP21+CS21)/4</f>
        <v>36.25</v>
      </c>
      <c r="DA21" s="18"/>
      <c r="DB21" s="80">
        <f>SUM(CW21:CZ21)/4</f>
        <v>35.875</v>
      </c>
      <c r="DC21" s="18"/>
      <c r="DD21" s="79">
        <f>DB21*0.5</f>
        <v>17.9375</v>
      </c>
      <c r="DE21" s="75"/>
      <c r="DF21" s="79">
        <f>DE21*0.5</f>
        <v>0</v>
      </c>
      <c r="DG21" s="81">
        <f>DF21+DD21</f>
        <v>17.9375</v>
      </c>
      <c r="DH21" s="18"/>
      <c r="DI21" s="79">
        <f>DB21*0.3</f>
        <v>10.7625</v>
      </c>
      <c r="DJ21" s="75"/>
      <c r="DK21" s="79">
        <f>DJ21*0.7</f>
        <v>0</v>
      </c>
      <c r="DL21" s="81">
        <f>DK21+DI21</f>
        <v>10.7625</v>
      </c>
    </row>
    <row r="22" ht="24.75" customHeight="1">
      <c r="A22" s="105"/>
      <c r="B22" s="106">
        <v>18</v>
      </c>
      <c r="C22" t="s" s="70">
        <v>206</v>
      </c>
      <c r="D22" t="s" s="71">
        <v>207</v>
      </c>
      <c r="E22" t="s" s="72">
        <v>43</v>
      </c>
      <c r="F22" t="s" s="113">
        <v>43</v>
      </c>
      <c r="G22" s="74"/>
      <c r="H22" t="s" s="113">
        <v>161</v>
      </c>
      <c r="I22" t="s" s="72">
        <v>43</v>
      </c>
      <c r="J22" t="s" s="113">
        <v>43</v>
      </c>
      <c r="K22" t="s" s="83">
        <v>162</v>
      </c>
      <c r="L22" t="s" s="83">
        <v>43</v>
      </c>
      <c r="M22" t="s" s="83">
        <v>43</v>
      </c>
      <c r="N22" s="79">
        <v>10</v>
      </c>
      <c r="O22" s="79">
        <v>10</v>
      </c>
      <c r="P22" s="79">
        <v>10</v>
      </c>
      <c r="Q22" s="79">
        <v>10</v>
      </c>
      <c r="R22" s="75"/>
      <c r="S22" s="79">
        <v>10</v>
      </c>
      <c r="T22" s="79">
        <v>10</v>
      </c>
      <c r="U22" s="110">
        <v>7</v>
      </c>
      <c r="V22" s="79">
        <v>10</v>
      </c>
      <c r="W22" s="79">
        <v>13</v>
      </c>
      <c r="X22" s="79">
        <v>3</v>
      </c>
      <c r="Y22" s="108">
        <f>N22+O22+P22+Q22+S22+T22+U22+V22+W22+X22+R22</f>
        <v>93</v>
      </c>
      <c r="Z22" s="79">
        <v>1</v>
      </c>
      <c r="AA22" s="75"/>
      <c r="AB22" s="79">
        <v>8</v>
      </c>
      <c r="AC22" s="110">
        <v>10</v>
      </c>
      <c r="AD22" s="79">
        <v>9</v>
      </c>
      <c r="AE22" s="110">
        <v>17</v>
      </c>
      <c r="AF22" s="79">
        <v>20</v>
      </c>
      <c r="AG22" s="110">
        <v>11</v>
      </c>
      <c r="AH22" s="79">
        <v>23</v>
      </c>
      <c r="AI22" s="111">
        <f>AB22+AC22+AD22+AE22+AF22+AG22+AH22</f>
        <v>98</v>
      </c>
      <c r="AJ22" s="18"/>
      <c r="AK22" s="112">
        <v>18</v>
      </c>
      <c r="AL22" s="110">
        <v>10</v>
      </c>
      <c r="AM22" s="79">
        <v>20</v>
      </c>
      <c r="AN22" s="110">
        <v>20</v>
      </c>
      <c r="AO22" s="79">
        <v>10</v>
      </c>
      <c r="AP22" s="79">
        <v>15</v>
      </c>
      <c r="AQ22" s="110">
        <v>10</v>
      </c>
      <c r="AR22" s="77">
        <v>18</v>
      </c>
      <c r="AS22" s="76"/>
      <c r="AT22" s="77">
        <f>SUM(AL22:AS22)</f>
        <v>103</v>
      </c>
      <c r="AU22" s="18"/>
      <c r="AV22" s="78">
        <v>18</v>
      </c>
      <c r="AW22" s="110">
        <v>100</v>
      </c>
      <c r="AX22" s="75"/>
      <c r="AY22" s="18"/>
      <c r="AZ22" s="110">
        <f>AI22</f>
        <v>98</v>
      </c>
      <c r="BA22" s="75"/>
      <c r="BB22" s="18"/>
      <c r="BC22" s="110">
        <f>Y22</f>
        <v>93</v>
      </c>
      <c r="BD22" s="75"/>
      <c r="BE22" s="18"/>
      <c r="BF22" s="76"/>
      <c r="BG22" s="75"/>
      <c r="BH22" s="18"/>
      <c r="BI22" s="78">
        <v>18</v>
      </c>
      <c r="BJ22" s="110">
        <v>100</v>
      </c>
      <c r="BK22" s="75"/>
      <c r="BL22" s="18"/>
      <c r="BM22" s="110">
        <f>AI22-1</f>
        <v>97</v>
      </c>
      <c r="BN22" s="75"/>
      <c r="BO22" s="18"/>
      <c r="BP22" s="110">
        <f>BC22-1</f>
        <v>92</v>
      </c>
      <c r="BQ22" s="75"/>
      <c r="BR22" s="18"/>
      <c r="BS22" s="76"/>
      <c r="BT22" s="75"/>
      <c r="BU22" s="18"/>
      <c r="BV22" s="78">
        <v>18</v>
      </c>
      <c r="BW22" s="110">
        <v>100</v>
      </c>
      <c r="BX22" s="75"/>
      <c r="BY22" s="18"/>
      <c r="BZ22" s="110">
        <f>AI22+2</f>
        <v>100</v>
      </c>
      <c r="CA22" s="75"/>
      <c r="CB22" s="18"/>
      <c r="CC22" s="110">
        <f>BC22+2</f>
        <v>95</v>
      </c>
      <c r="CD22" s="75"/>
      <c r="CE22" s="18"/>
      <c r="CF22" s="76"/>
      <c r="CG22" s="75"/>
      <c r="CH22" s="18"/>
      <c r="CI22" s="78">
        <v>18</v>
      </c>
      <c r="CJ22" s="110">
        <v>100</v>
      </c>
      <c r="CK22" s="75"/>
      <c r="CL22" s="18"/>
      <c r="CM22" s="110">
        <f>AI22+1</f>
        <v>99</v>
      </c>
      <c r="CN22" s="75"/>
      <c r="CO22" s="18"/>
      <c r="CP22" s="110">
        <f>BC22+1</f>
        <v>94</v>
      </c>
      <c r="CQ22" s="75"/>
      <c r="CR22" s="18"/>
      <c r="CS22" s="76"/>
      <c r="CT22" s="75"/>
      <c r="CU22" s="18"/>
      <c r="CV22" s="78">
        <v>18</v>
      </c>
      <c r="CW22" s="79">
        <f>(AW22+AZ22+BC22+BF22)/4</f>
        <v>72.75</v>
      </c>
      <c r="CX22" s="79">
        <f>(BJ22+BM22+BP22+BS22)/4</f>
        <v>72.25</v>
      </c>
      <c r="CY22" s="79">
        <f>(BW22+BZ22+CC22+CF22)/4</f>
        <v>73.75</v>
      </c>
      <c r="CZ22" s="79">
        <f>(CJ22+CM22+CP22+CS22)/4</f>
        <v>73.25</v>
      </c>
      <c r="DA22" s="18"/>
      <c r="DB22" s="80">
        <f>SUM(CW22:CZ22)/4</f>
        <v>73</v>
      </c>
      <c r="DC22" s="18"/>
      <c r="DD22" s="79">
        <f>DB22*0.5</f>
        <v>36.5</v>
      </c>
      <c r="DE22" s="75"/>
      <c r="DF22" s="79">
        <f>DE22*0.5</f>
        <v>0</v>
      </c>
      <c r="DG22" s="81">
        <f>DF22+DD22</f>
        <v>36.5</v>
      </c>
      <c r="DH22" s="18"/>
      <c r="DI22" s="79">
        <f>DB22*0.3</f>
        <v>21.9</v>
      </c>
      <c r="DJ22" s="75"/>
      <c r="DK22" s="79">
        <f>DJ22*0.7</f>
        <v>0</v>
      </c>
      <c r="DL22" s="81">
        <f>DK22+DI22</f>
        <v>21.9</v>
      </c>
    </row>
    <row r="23" ht="24.75" customHeight="1">
      <c r="A23" s="105"/>
      <c r="B23" s="106">
        <v>19</v>
      </c>
      <c r="C23" t="s" s="70">
        <v>208</v>
      </c>
      <c r="D23" t="s" s="71">
        <v>209</v>
      </c>
      <c r="E23" t="s" s="72">
        <v>43</v>
      </c>
      <c r="F23" t="s" s="113">
        <v>43</v>
      </c>
      <c r="G23" s="74"/>
      <c r="H23" t="s" s="113">
        <v>43</v>
      </c>
      <c r="I23" t="s" s="72">
        <v>43</v>
      </c>
      <c r="J23" t="s" s="113">
        <v>43</v>
      </c>
      <c r="K23" t="s" s="83">
        <v>43</v>
      </c>
      <c r="L23" t="s" s="83">
        <v>43</v>
      </c>
      <c r="M23" t="s" s="127">
        <v>43</v>
      </c>
      <c r="N23" s="79">
        <v>10</v>
      </c>
      <c r="O23" s="79">
        <v>10</v>
      </c>
      <c r="P23" s="79">
        <v>7</v>
      </c>
      <c r="Q23" s="79">
        <v>9</v>
      </c>
      <c r="R23" s="75"/>
      <c r="S23" s="79">
        <v>10</v>
      </c>
      <c r="T23" s="79">
        <v>9</v>
      </c>
      <c r="U23" s="110">
        <v>10</v>
      </c>
      <c r="V23" s="79">
        <v>9</v>
      </c>
      <c r="W23" s="79">
        <v>0</v>
      </c>
      <c r="X23" s="79">
        <v>3</v>
      </c>
      <c r="Y23" s="108">
        <f>N23+O23+P23+Q23+S23+T23+U23+V23+W23+X23+R23</f>
        <v>77</v>
      </c>
      <c r="Z23" s="75"/>
      <c r="AA23" s="75"/>
      <c r="AB23" s="79">
        <v>10</v>
      </c>
      <c r="AC23" s="110">
        <v>9</v>
      </c>
      <c r="AD23" s="79">
        <v>10</v>
      </c>
      <c r="AE23" s="110">
        <v>17</v>
      </c>
      <c r="AF23" s="79">
        <v>7</v>
      </c>
      <c r="AG23" s="110">
        <v>0</v>
      </c>
      <c r="AH23" s="79">
        <v>23</v>
      </c>
      <c r="AI23" s="111">
        <f>AB23+AC23+AD23+AE23+AF23+AG23+AH23</f>
        <v>76</v>
      </c>
      <c r="AJ23" s="18"/>
      <c r="AK23" s="112">
        <v>19</v>
      </c>
      <c r="AL23" s="110">
        <v>10</v>
      </c>
      <c r="AM23" s="79">
        <v>19</v>
      </c>
      <c r="AN23" s="110">
        <v>20</v>
      </c>
      <c r="AO23" s="79">
        <v>10</v>
      </c>
      <c r="AP23" s="79">
        <v>0</v>
      </c>
      <c r="AQ23" s="110">
        <v>10</v>
      </c>
      <c r="AR23" s="77">
        <v>18</v>
      </c>
      <c r="AS23" s="76"/>
      <c r="AT23" s="77">
        <f>SUM(AL23:AS23)</f>
        <v>87</v>
      </c>
      <c r="AU23" s="18"/>
      <c r="AV23" s="78">
        <v>19</v>
      </c>
      <c r="AW23" s="110">
        <f>AT23+0</f>
        <v>87</v>
      </c>
      <c r="AX23" s="75"/>
      <c r="AY23" s="18"/>
      <c r="AZ23" s="110">
        <f>AI23</f>
        <v>76</v>
      </c>
      <c r="BA23" s="75"/>
      <c r="BB23" s="18"/>
      <c r="BC23" s="110">
        <f>Y23</f>
        <v>77</v>
      </c>
      <c r="BD23" s="75"/>
      <c r="BE23" s="18"/>
      <c r="BF23" s="76"/>
      <c r="BG23" s="75"/>
      <c r="BH23" s="18"/>
      <c r="BI23" s="78">
        <v>19</v>
      </c>
      <c r="BJ23" s="110">
        <f>AT23-1</f>
        <v>86</v>
      </c>
      <c r="BK23" s="75"/>
      <c r="BL23" s="18"/>
      <c r="BM23" s="110">
        <f>AI23-1</f>
        <v>75</v>
      </c>
      <c r="BN23" s="75"/>
      <c r="BO23" s="18"/>
      <c r="BP23" s="110">
        <f>BC23-1</f>
        <v>76</v>
      </c>
      <c r="BQ23" s="75"/>
      <c r="BR23" s="18"/>
      <c r="BS23" s="76"/>
      <c r="BT23" s="75"/>
      <c r="BU23" s="18"/>
      <c r="BV23" s="78">
        <v>19</v>
      </c>
      <c r="BW23" s="110">
        <f>AT23+2</f>
        <v>89</v>
      </c>
      <c r="BX23" s="75"/>
      <c r="BY23" s="18"/>
      <c r="BZ23" s="110">
        <f>AI23+2</f>
        <v>78</v>
      </c>
      <c r="CA23" s="75"/>
      <c r="CB23" s="18"/>
      <c r="CC23" s="110">
        <f>BC23+2</f>
        <v>79</v>
      </c>
      <c r="CD23" s="75"/>
      <c r="CE23" s="18"/>
      <c r="CF23" s="76"/>
      <c r="CG23" s="75"/>
      <c r="CH23" s="18"/>
      <c r="CI23" s="78">
        <v>19</v>
      </c>
      <c r="CJ23" s="110">
        <f>AT23+1</f>
        <v>88</v>
      </c>
      <c r="CK23" s="75"/>
      <c r="CL23" s="18"/>
      <c r="CM23" s="110">
        <f>AI23+1</f>
        <v>77</v>
      </c>
      <c r="CN23" s="75"/>
      <c r="CO23" s="18"/>
      <c r="CP23" s="110">
        <f>BC23+1</f>
        <v>78</v>
      </c>
      <c r="CQ23" s="75"/>
      <c r="CR23" s="18"/>
      <c r="CS23" s="76"/>
      <c r="CT23" s="75"/>
      <c r="CU23" s="18"/>
      <c r="CV23" s="78">
        <v>19</v>
      </c>
      <c r="CW23" s="79">
        <f>(AW23+AZ23+BC23+BF23)/4</f>
        <v>60</v>
      </c>
      <c r="CX23" s="79">
        <f>(BJ23+BM23+BP23+BS23)/4</f>
        <v>59.25</v>
      </c>
      <c r="CY23" s="79">
        <f>(BW23+BZ23+CC23+CF23)/4</f>
        <v>61.5</v>
      </c>
      <c r="CZ23" s="79">
        <f>(CJ23+CM23+CP23+CS23)/4</f>
        <v>60.75</v>
      </c>
      <c r="DA23" s="18"/>
      <c r="DB23" s="80">
        <f>SUM(CW23:CZ23)/4</f>
        <v>60.375</v>
      </c>
      <c r="DC23" s="18"/>
      <c r="DD23" s="79">
        <f>DB23*0.5</f>
        <v>30.1875</v>
      </c>
      <c r="DE23" s="75"/>
      <c r="DF23" s="79">
        <f>DE23*0.5</f>
        <v>0</v>
      </c>
      <c r="DG23" s="81">
        <f>DF23+DD23</f>
        <v>30.1875</v>
      </c>
      <c r="DH23" s="18"/>
      <c r="DI23" s="79">
        <f>DB23*0.3</f>
        <v>18.1125</v>
      </c>
      <c r="DJ23" s="75"/>
      <c r="DK23" s="79">
        <f>DJ23*0.7</f>
        <v>0</v>
      </c>
      <c r="DL23" s="81">
        <f>DK23+DI23</f>
        <v>18.1125</v>
      </c>
    </row>
    <row r="24" ht="24.75" customHeight="1">
      <c r="A24" s="105"/>
      <c r="B24" s="106">
        <v>20</v>
      </c>
      <c r="C24" t="s" s="70">
        <v>210</v>
      </c>
      <c r="D24" t="s" s="71">
        <v>211</v>
      </c>
      <c r="E24" t="s" s="72">
        <v>43</v>
      </c>
      <c r="F24" t="s" s="113">
        <v>162</v>
      </c>
      <c r="G24" s="74"/>
      <c r="H24" t="s" s="113">
        <v>43</v>
      </c>
      <c r="I24" t="s" s="72">
        <v>43</v>
      </c>
      <c r="J24" t="s" s="113">
        <v>43</v>
      </c>
      <c r="K24" s="79">
        <v>-5</v>
      </c>
      <c r="L24" t="s" s="83">
        <v>43</v>
      </c>
      <c r="M24" t="s" s="83">
        <v>43</v>
      </c>
      <c r="N24" s="79">
        <v>10</v>
      </c>
      <c r="O24" s="79">
        <v>10</v>
      </c>
      <c r="P24" s="79">
        <v>7</v>
      </c>
      <c r="Q24" s="79">
        <v>7</v>
      </c>
      <c r="R24" s="75"/>
      <c r="S24" s="79">
        <v>8</v>
      </c>
      <c r="T24" s="79">
        <v>5</v>
      </c>
      <c r="U24" s="110">
        <v>9</v>
      </c>
      <c r="V24" s="79">
        <v>10</v>
      </c>
      <c r="W24" s="79">
        <v>10</v>
      </c>
      <c r="X24" s="79">
        <v>3</v>
      </c>
      <c r="Y24" s="108">
        <f>N24+O24+P24+Q24+S24+T24+U24+V24+W24+X24+R24</f>
        <v>79</v>
      </c>
      <c r="Z24" s="75"/>
      <c r="AA24" s="75"/>
      <c r="AB24" s="79">
        <v>10</v>
      </c>
      <c r="AC24" s="110">
        <v>8</v>
      </c>
      <c r="AD24" s="79">
        <v>6</v>
      </c>
      <c r="AE24" s="110">
        <v>17</v>
      </c>
      <c r="AF24" s="79">
        <v>13</v>
      </c>
      <c r="AG24" s="110">
        <v>5</v>
      </c>
      <c r="AH24" s="79">
        <v>23</v>
      </c>
      <c r="AI24" s="111">
        <f>AB24+AC24+AD24+AE24+AF24+AG24+AH24</f>
        <v>82</v>
      </c>
      <c r="AJ24" s="18"/>
      <c r="AK24" s="112">
        <v>20</v>
      </c>
      <c r="AL24" s="110">
        <v>10</v>
      </c>
      <c r="AM24" s="79">
        <v>19</v>
      </c>
      <c r="AN24" s="110">
        <v>20</v>
      </c>
      <c r="AO24" s="79">
        <v>10</v>
      </c>
      <c r="AP24" s="79">
        <v>6</v>
      </c>
      <c r="AQ24" s="110">
        <v>9</v>
      </c>
      <c r="AR24" s="77">
        <v>18</v>
      </c>
      <c r="AS24" s="76"/>
      <c r="AT24" s="77">
        <f>SUM(AL24:AS24)</f>
        <v>92</v>
      </c>
      <c r="AU24" s="18"/>
      <c r="AV24" s="78">
        <v>20</v>
      </c>
      <c r="AW24" s="110">
        <f>AT24+0</f>
        <v>92</v>
      </c>
      <c r="AX24" s="75"/>
      <c r="AY24" s="18"/>
      <c r="AZ24" s="110">
        <f>AI24</f>
        <v>82</v>
      </c>
      <c r="BA24" s="75"/>
      <c r="BB24" s="18"/>
      <c r="BC24" s="110">
        <f>Y24</f>
        <v>79</v>
      </c>
      <c r="BD24" s="75"/>
      <c r="BE24" s="18"/>
      <c r="BF24" s="76"/>
      <c r="BG24" s="75"/>
      <c r="BH24" s="18"/>
      <c r="BI24" s="78">
        <v>20</v>
      </c>
      <c r="BJ24" s="110">
        <f>AT24-1</f>
        <v>91</v>
      </c>
      <c r="BK24" s="75"/>
      <c r="BL24" s="18"/>
      <c r="BM24" s="110">
        <f>AI24-1</f>
        <v>81</v>
      </c>
      <c r="BN24" s="75"/>
      <c r="BO24" s="18"/>
      <c r="BP24" s="110">
        <f>BC24-1</f>
        <v>78</v>
      </c>
      <c r="BQ24" s="75"/>
      <c r="BR24" s="18"/>
      <c r="BS24" s="76"/>
      <c r="BT24" s="75"/>
      <c r="BU24" s="18"/>
      <c r="BV24" s="78">
        <v>20</v>
      </c>
      <c r="BW24" s="110">
        <f>AT24+2</f>
        <v>94</v>
      </c>
      <c r="BX24" s="75"/>
      <c r="BY24" s="18"/>
      <c r="BZ24" s="110">
        <f>AI24+2</f>
        <v>84</v>
      </c>
      <c r="CA24" s="75"/>
      <c r="CB24" s="18"/>
      <c r="CC24" s="110">
        <f>BC24+2</f>
        <v>81</v>
      </c>
      <c r="CD24" s="75"/>
      <c r="CE24" s="18"/>
      <c r="CF24" s="76"/>
      <c r="CG24" s="75"/>
      <c r="CH24" s="18"/>
      <c r="CI24" s="78">
        <v>20</v>
      </c>
      <c r="CJ24" s="110">
        <f>AT24+1</f>
        <v>93</v>
      </c>
      <c r="CK24" s="75"/>
      <c r="CL24" s="18"/>
      <c r="CM24" s="110">
        <f>AI24+1</f>
        <v>83</v>
      </c>
      <c r="CN24" s="75"/>
      <c r="CO24" s="18"/>
      <c r="CP24" s="110">
        <f>BC24+1</f>
        <v>80</v>
      </c>
      <c r="CQ24" s="75"/>
      <c r="CR24" s="18"/>
      <c r="CS24" s="76"/>
      <c r="CT24" s="75"/>
      <c r="CU24" s="18"/>
      <c r="CV24" s="78">
        <v>20</v>
      </c>
      <c r="CW24" s="79">
        <f>(AW24+AZ24+BC24+BF24)/4</f>
        <v>63.25</v>
      </c>
      <c r="CX24" s="79">
        <f>(BJ24+BM24+BP24+BS24)/4</f>
        <v>62.5</v>
      </c>
      <c r="CY24" s="79">
        <f>(BW24+BZ24+CC24+CF24)/4</f>
        <v>64.75</v>
      </c>
      <c r="CZ24" s="79">
        <f>(CJ24+CM24+CP24+CS24)/4</f>
        <v>64</v>
      </c>
      <c r="DA24" s="18"/>
      <c r="DB24" s="80">
        <f>SUM(CW24:CZ24)/4</f>
        <v>63.625</v>
      </c>
      <c r="DC24" s="18"/>
      <c r="DD24" s="79">
        <f>DB24*0.5</f>
        <v>31.8125</v>
      </c>
      <c r="DE24" s="75"/>
      <c r="DF24" s="79">
        <f>DE24*0.5</f>
        <v>0</v>
      </c>
      <c r="DG24" s="81">
        <f>DF24+DD24</f>
        <v>31.8125</v>
      </c>
      <c r="DH24" s="18"/>
      <c r="DI24" s="79">
        <f>DB24*0.3</f>
        <v>19.0875</v>
      </c>
      <c r="DJ24" s="75"/>
      <c r="DK24" s="79">
        <f>DJ24*0.7</f>
        <v>0</v>
      </c>
      <c r="DL24" s="81">
        <f>DK24+DI24</f>
        <v>19.0875</v>
      </c>
    </row>
    <row r="25" ht="24.75" customHeight="1">
      <c r="A25" s="105"/>
      <c r="B25" s="106">
        <v>21</v>
      </c>
      <c r="C25" t="s" s="70">
        <v>212</v>
      </c>
      <c r="D25" t="s" s="71">
        <v>213</v>
      </c>
      <c r="E25" t="s" s="72">
        <v>43</v>
      </c>
      <c r="F25" t="s" s="113">
        <v>43</v>
      </c>
      <c r="G25" s="74"/>
      <c r="H25" t="s" s="113">
        <v>43</v>
      </c>
      <c r="I25" t="s" s="72">
        <v>162</v>
      </c>
      <c r="J25" t="s" s="113">
        <v>43</v>
      </c>
      <c r="K25" t="s" s="83">
        <v>43</v>
      </c>
      <c r="L25" t="s" s="83">
        <v>161</v>
      </c>
      <c r="M25" t="s" s="83">
        <v>43</v>
      </c>
      <c r="N25" s="79">
        <v>8</v>
      </c>
      <c r="O25" s="79">
        <v>10</v>
      </c>
      <c r="P25" s="79">
        <v>0</v>
      </c>
      <c r="Q25" s="75"/>
      <c r="R25" s="75"/>
      <c r="S25" s="79">
        <v>10</v>
      </c>
      <c r="T25" s="79">
        <v>10</v>
      </c>
      <c r="U25" s="110">
        <v>8</v>
      </c>
      <c r="V25" s="79">
        <v>6</v>
      </c>
      <c r="W25" s="79">
        <v>13</v>
      </c>
      <c r="X25" s="79">
        <v>3</v>
      </c>
      <c r="Y25" s="126">
        <f>N25+O25+P25+Q25+S25+T25+U25+V25+W25+X25+R25</f>
        <v>68</v>
      </c>
      <c r="Z25" s="79">
        <v>1</v>
      </c>
      <c r="AA25" s="75"/>
      <c r="AB25" s="79">
        <v>10</v>
      </c>
      <c r="AC25" s="110">
        <v>9</v>
      </c>
      <c r="AD25" s="79">
        <v>10</v>
      </c>
      <c r="AE25" s="110">
        <v>17</v>
      </c>
      <c r="AF25" s="79">
        <v>0</v>
      </c>
      <c r="AG25" s="110">
        <v>0</v>
      </c>
      <c r="AH25" s="79">
        <v>23</v>
      </c>
      <c r="AI25" s="111">
        <f>AB25+AC25+AD25+AE25+AF25+AG25+AH25</f>
        <v>69</v>
      </c>
      <c r="AJ25" s="18"/>
      <c r="AK25" s="112">
        <v>21</v>
      </c>
      <c r="AL25" s="110">
        <v>10</v>
      </c>
      <c r="AM25" s="79">
        <v>0</v>
      </c>
      <c r="AN25" s="110">
        <v>20</v>
      </c>
      <c r="AO25" s="79">
        <v>10</v>
      </c>
      <c r="AP25" s="79">
        <v>0</v>
      </c>
      <c r="AQ25" s="110">
        <v>9</v>
      </c>
      <c r="AR25" s="77">
        <v>18</v>
      </c>
      <c r="AS25" s="76"/>
      <c r="AT25" s="77">
        <f>SUM(AL25:AS25)</f>
        <v>67</v>
      </c>
      <c r="AU25" s="112">
        <v>67</v>
      </c>
      <c r="AV25" s="78">
        <v>21</v>
      </c>
      <c r="AW25" s="110">
        <f>AT25+0</f>
        <v>67</v>
      </c>
      <c r="AX25" s="79">
        <v>68</v>
      </c>
      <c r="AY25" s="18"/>
      <c r="AZ25" s="110">
        <f>AI25</f>
        <v>69</v>
      </c>
      <c r="BA25" s="79">
        <v>69</v>
      </c>
      <c r="BB25" s="18"/>
      <c r="BC25" s="110">
        <f>Y25</f>
        <v>68</v>
      </c>
      <c r="BD25" s="75"/>
      <c r="BE25" s="18"/>
      <c r="BF25" s="76"/>
      <c r="BG25" s="75"/>
      <c r="BH25" s="18"/>
      <c r="BI25" s="78">
        <v>21</v>
      </c>
      <c r="BJ25" s="110">
        <f>AT25-1</f>
        <v>66</v>
      </c>
      <c r="BK25" s="79">
        <v>68</v>
      </c>
      <c r="BL25" s="18"/>
      <c r="BM25" s="110">
        <f>AI25-1</f>
        <v>68</v>
      </c>
      <c r="BN25" s="79">
        <v>69</v>
      </c>
      <c r="BO25" s="18"/>
      <c r="BP25" s="110">
        <f>BC25-1</f>
        <v>67</v>
      </c>
      <c r="BQ25" s="75"/>
      <c r="BR25" s="18"/>
      <c r="BS25" s="76"/>
      <c r="BT25" s="75"/>
      <c r="BU25" s="18"/>
      <c r="BV25" s="78">
        <v>21</v>
      </c>
      <c r="BW25" s="110">
        <f>AT25+2</f>
        <v>69</v>
      </c>
      <c r="BX25" s="79">
        <v>69</v>
      </c>
      <c r="BY25" s="18"/>
      <c r="BZ25" s="110">
        <f>AI25+2</f>
        <v>71</v>
      </c>
      <c r="CA25" s="75"/>
      <c r="CB25" s="18"/>
      <c r="CC25" s="110">
        <f>BC25+2</f>
        <v>70</v>
      </c>
      <c r="CD25" s="75"/>
      <c r="CE25" s="18"/>
      <c r="CF25" s="76"/>
      <c r="CG25" s="75"/>
      <c r="CH25" s="18"/>
      <c r="CI25" s="78">
        <v>21</v>
      </c>
      <c r="CJ25" s="110">
        <f>AT25+1</f>
        <v>68</v>
      </c>
      <c r="CK25" s="79">
        <v>69</v>
      </c>
      <c r="CL25" s="18"/>
      <c r="CM25" s="110">
        <f>AI25+1</f>
        <v>70</v>
      </c>
      <c r="CN25" s="75"/>
      <c r="CO25" s="18"/>
      <c r="CP25" s="110">
        <f>BC25+1</f>
        <v>69</v>
      </c>
      <c r="CQ25" s="75"/>
      <c r="CR25" s="18"/>
      <c r="CS25" s="76"/>
      <c r="CT25" s="75"/>
      <c r="CU25" s="18"/>
      <c r="CV25" s="78">
        <v>21</v>
      </c>
      <c r="CW25" s="79">
        <f>(AW25+AZ25+BC25+BF25)/4</f>
        <v>51</v>
      </c>
      <c r="CX25" s="79">
        <f>(BJ25+BM25+BP25+BS25)/4</f>
        <v>50.25</v>
      </c>
      <c r="CY25" s="79">
        <f>(BW25+BZ25+CC25+CF25)/4</f>
        <v>52.5</v>
      </c>
      <c r="CZ25" s="79">
        <f>(CJ25+CM25+CP25+CS25)/4</f>
        <v>51.75</v>
      </c>
      <c r="DA25" s="18"/>
      <c r="DB25" s="80">
        <f>SUM(CW25:CZ25)/4</f>
        <v>51.375</v>
      </c>
      <c r="DC25" s="18"/>
      <c r="DD25" s="79">
        <f>DB25*0.5</f>
        <v>25.6875</v>
      </c>
      <c r="DE25" s="75"/>
      <c r="DF25" s="79">
        <f>DE25*0.5</f>
        <v>0</v>
      </c>
      <c r="DG25" s="81">
        <f>DF25+DD25</f>
        <v>25.6875</v>
      </c>
      <c r="DH25" s="18"/>
      <c r="DI25" s="79">
        <f>DB25*0.3</f>
        <v>15.4125</v>
      </c>
      <c r="DJ25" s="75"/>
      <c r="DK25" s="79">
        <f>DJ25*0.7</f>
        <v>0</v>
      </c>
      <c r="DL25" s="81">
        <f>DK25+DI25</f>
        <v>15.4125</v>
      </c>
    </row>
    <row r="26" ht="24.75" customHeight="1">
      <c r="A26" s="105"/>
      <c r="B26" s="106">
        <v>22</v>
      </c>
      <c r="C26" t="s" s="70">
        <v>214</v>
      </c>
      <c r="D26" t="s" s="71">
        <v>215</v>
      </c>
      <c r="E26" t="s" s="72">
        <v>43</v>
      </c>
      <c r="F26" t="s" s="113">
        <v>43</v>
      </c>
      <c r="G26" s="74"/>
      <c r="H26" t="s" s="113">
        <v>43</v>
      </c>
      <c r="I26" t="s" s="72">
        <v>43</v>
      </c>
      <c r="J26" t="s" s="113">
        <v>43</v>
      </c>
      <c r="K26" t="s" s="83">
        <v>162</v>
      </c>
      <c r="L26" t="s" s="83">
        <v>161</v>
      </c>
      <c r="M26" t="s" s="83">
        <v>43</v>
      </c>
      <c r="N26" s="79">
        <v>10</v>
      </c>
      <c r="O26" s="79">
        <v>10</v>
      </c>
      <c r="P26" s="79">
        <v>7</v>
      </c>
      <c r="Q26" s="79">
        <v>8</v>
      </c>
      <c r="R26" s="75"/>
      <c r="S26" s="79">
        <v>8</v>
      </c>
      <c r="T26" s="79">
        <v>10</v>
      </c>
      <c r="U26" s="110">
        <v>9</v>
      </c>
      <c r="V26" s="79">
        <v>10</v>
      </c>
      <c r="W26" s="79">
        <v>12</v>
      </c>
      <c r="X26" s="79">
        <v>3</v>
      </c>
      <c r="Y26" s="108">
        <f>N26+O26+P26+Q26+S26+T26+U26+V26+W26+X26+R26</f>
        <v>87</v>
      </c>
      <c r="Z26" t="s" s="83">
        <v>216</v>
      </c>
      <c r="AA26" s="75"/>
      <c r="AB26" s="79">
        <v>10</v>
      </c>
      <c r="AC26" s="110">
        <v>8</v>
      </c>
      <c r="AD26" s="79">
        <v>9</v>
      </c>
      <c r="AE26" s="110">
        <v>17</v>
      </c>
      <c r="AF26" s="79">
        <v>18</v>
      </c>
      <c r="AG26" s="110">
        <v>0</v>
      </c>
      <c r="AH26" s="79">
        <v>23</v>
      </c>
      <c r="AI26" s="111">
        <f>AB26+AC26+AD26+AE26+AF26+AG26+AH26</f>
        <v>85</v>
      </c>
      <c r="AJ26" s="18"/>
      <c r="AK26" s="112">
        <v>22</v>
      </c>
      <c r="AL26" s="110">
        <v>10</v>
      </c>
      <c r="AM26" s="79">
        <v>15</v>
      </c>
      <c r="AN26" s="110">
        <v>20</v>
      </c>
      <c r="AO26" s="79">
        <v>8</v>
      </c>
      <c r="AP26" s="79">
        <v>5</v>
      </c>
      <c r="AQ26" s="110">
        <v>8</v>
      </c>
      <c r="AR26" s="77">
        <v>18</v>
      </c>
      <c r="AS26" s="76"/>
      <c r="AT26" s="77">
        <f>SUM(AL26:AS26)</f>
        <v>84</v>
      </c>
      <c r="AU26" s="112">
        <v>2</v>
      </c>
      <c r="AV26" s="78">
        <v>22</v>
      </c>
      <c r="AW26" s="110">
        <f>AT26+0</f>
        <v>84</v>
      </c>
      <c r="AX26" s="75"/>
      <c r="AY26" s="18"/>
      <c r="AZ26" s="110">
        <f>AI26</f>
        <v>85</v>
      </c>
      <c r="BA26" s="75"/>
      <c r="BB26" s="18"/>
      <c r="BC26" s="110">
        <f>Y26</f>
        <v>87</v>
      </c>
      <c r="BD26" s="75"/>
      <c r="BE26" s="18"/>
      <c r="BF26" s="76"/>
      <c r="BG26" s="75"/>
      <c r="BH26" s="18"/>
      <c r="BI26" s="78">
        <v>22</v>
      </c>
      <c r="BJ26" s="110">
        <f>AT26-1</f>
        <v>83</v>
      </c>
      <c r="BK26" s="75"/>
      <c r="BL26" s="18"/>
      <c r="BM26" s="110">
        <f>AI26-1</f>
        <v>84</v>
      </c>
      <c r="BN26" s="75"/>
      <c r="BO26" s="18"/>
      <c r="BP26" s="110">
        <f>BC26-1</f>
        <v>86</v>
      </c>
      <c r="BQ26" s="75"/>
      <c r="BR26" s="18"/>
      <c r="BS26" s="76"/>
      <c r="BT26" s="75"/>
      <c r="BU26" s="18"/>
      <c r="BV26" s="78">
        <v>22</v>
      </c>
      <c r="BW26" s="110">
        <f>AT26+2</f>
        <v>86</v>
      </c>
      <c r="BX26" s="75"/>
      <c r="BY26" s="18"/>
      <c r="BZ26" s="110">
        <f>AI26+2</f>
        <v>87</v>
      </c>
      <c r="CA26" s="75"/>
      <c r="CB26" s="18"/>
      <c r="CC26" s="110">
        <f>BC26+2</f>
        <v>89</v>
      </c>
      <c r="CD26" s="75"/>
      <c r="CE26" s="18"/>
      <c r="CF26" s="76"/>
      <c r="CG26" s="75"/>
      <c r="CH26" s="18"/>
      <c r="CI26" s="78">
        <v>22</v>
      </c>
      <c r="CJ26" s="110">
        <f>AT26+1</f>
        <v>85</v>
      </c>
      <c r="CK26" s="75"/>
      <c r="CL26" s="18"/>
      <c r="CM26" s="110">
        <f>AI26+1</f>
        <v>86</v>
      </c>
      <c r="CN26" s="75"/>
      <c r="CO26" s="18"/>
      <c r="CP26" s="110">
        <f>BC26+1</f>
        <v>88</v>
      </c>
      <c r="CQ26" s="75"/>
      <c r="CR26" s="18"/>
      <c r="CS26" s="76"/>
      <c r="CT26" s="75"/>
      <c r="CU26" s="18"/>
      <c r="CV26" s="78">
        <v>22</v>
      </c>
      <c r="CW26" s="79">
        <f>(AW26+AZ26+BC26+BF26)/4</f>
        <v>64</v>
      </c>
      <c r="CX26" s="79">
        <f>(BJ26+BM26+BP26+BS26)/4</f>
        <v>63.25</v>
      </c>
      <c r="CY26" s="79">
        <f>(BW26+BZ26+CC26+CF26)/4</f>
        <v>65.5</v>
      </c>
      <c r="CZ26" s="79">
        <f>(CJ26+CM26+CP26+CS26)/4</f>
        <v>64.75</v>
      </c>
      <c r="DA26" s="18"/>
      <c r="DB26" s="80">
        <f>SUM(CW26:CZ26)/4</f>
        <v>64.375</v>
      </c>
      <c r="DC26" s="18"/>
      <c r="DD26" s="79">
        <f>DB26*0.5</f>
        <v>32.1875</v>
      </c>
      <c r="DE26" s="75"/>
      <c r="DF26" s="79">
        <f>DE26*0.5</f>
        <v>0</v>
      </c>
      <c r="DG26" s="81">
        <f>DF26+DD26</f>
        <v>32.1875</v>
      </c>
      <c r="DH26" s="18"/>
      <c r="DI26" s="79">
        <f>DB26*0.3</f>
        <v>19.3125</v>
      </c>
      <c r="DJ26" s="75"/>
      <c r="DK26" s="79">
        <f>DJ26*0.7</f>
        <v>0</v>
      </c>
      <c r="DL26" s="81">
        <f>DK26+DI26</f>
        <v>19.3125</v>
      </c>
    </row>
    <row r="27" ht="24.75" customHeight="1">
      <c r="A27" s="105"/>
      <c r="B27" s="106">
        <v>23</v>
      </c>
      <c r="C27" t="s" s="70">
        <v>217</v>
      </c>
      <c r="D27" t="s" s="71">
        <v>218</v>
      </c>
      <c r="E27" t="s" s="72">
        <v>43</v>
      </c>
      <c r="F27" t="s" s="113">
        <v>43</v>
      </c>
      <c r="G27" s="74"/>
      <c r="H27" t="s" s="113">
        <v>163</v>
      </c>
      <c r="I27" t="s" s="72">
        <v>43</v>
      </c>
      <c r="J27" t="s" s="113">
        <v>43</v>
      </c>
      <c r="K27" t="s" s="83">
        <v>43</v>
      </c>
      <c r="L27" t="s" s="83">
        <v>43</v>
      </c>
      <c r="M27" t="s" s="83">
        <v>43</v>
      </c>
      <c r="N27" s="79">
        <v>10</v>
      </c>
      <c r="O27" s="79">
        <v>0</v>
      </c>
      <c r="P27" s="79">
        <v>8</v>
      </c>
      <c r="Q27" s="79">
        <v>0</v>
      </c>
      <c r="R27" s="75"/>
      <c r="S27" s="79">
        <v>8</v>
      </c>
      <c r="T27" s="79">
        <v>8</v>
      </c>
      <c r="U27" s="110">
        <v>8</v>
      </c>
      <c r="V27" s="79">
        <v>9</v>
      </c>
      <c r="W27" s="79">
        <v>0</v>
      </c>
      <c r="X27" s="79">
        <v>3</v>
      </c>
      <c r="Y27" s="108">
        <f>N27+O27+P27+Q27+S27+T27+U27+V27+W27+X27+R27</f>
        <v>54</v>
      </c>
      <c r="Z27" s="75"/>
      <c r="AA27" s="75"/>
      <c r="AB27" s="79">
        <v>9</v>
      </c>
      <c r="AC27" s="110">
        <v>9</v>
      </c>
      <c r="AD27" s="79">
        <v>8</v>
      </c>
      <c r="AE27" s="110">
        <v>17</v>
      </c>
      <c r="AF27" s="79">
        <v>0</v>
      </c>
      <c r="AG27" s="110">
        <v>0</v>
      </c>
      <c r="AH27" s="79">
        <v>23</v>
      </c>
      <c r="AI27" s="111">
        <f>AB27+AC27+AD27+AE27+AF27+AG27+AH27</f>
        <v>66</v>
      </c>
      <c r="AJ27" s="18"/>
      <c r="AK27" s="112">
        <v>23</v>
      </c>
      <c r="AL27" s="110">
        <v>10</v>
      </c>
      <c r="AM27" s="79">
        <v>12</v>
      </c>
      <c r="AN27" s="110">
        <v>20</v>
      </c>
      <c r="AO27" s="79">
        <v>7</v>
      </c>
      <c r="AP27" s="79">
        <v>0</v>
      </c>
      <c r="AQ27" s="110">
        <v>9</v>
      </c>
      <c r="AR27" s="77">
        <v>18</v>
      </c>
      <c r="AS27" s="76"/>
      <c r="AT27" s="77">
        <f>SUM(AL27:AS27)</f>
        <v>76</v>
      </c>
      <c r="AU27" s="18"/>
      <c r="AV27" s="78">
        <v>23</v>
      </c>
      <c r="AW27" s="110">
        <f>AT27+0</f>
        <v>76</v>
      </c>
      <c r="AX27" s="75"/>
      <c r="AY27" s="18"/>
      <c r="AZ27" s="110">
        <f>AI27</f>
        <v>66</v>
      </c>
      <c r="BA27" s="79">
        <v>67</v>
      </c>
      <c r="BB27" s="18"/>
      <c r="BC27" s="110">
        <f>Y27</f>
        <v>54</v>
      </c>
      <c r="BD27" s="75"/>
      <c r="BE27" s="18"/>
      <c r="BF27" s="76"/>
      <c r="BG27" s="75"/>
      <c r="BH27" s="18"/>
      <c r="BI27" s="78">
        <v>23</v>
      </c>
      <c r="BJ27" s="110">
        <f>AT27-1</f>
        <v>75</v>
      </c>
      <c r="BK27" s="75"/>
      <c r="BL27" s="18"/>
      <c r="BM27" s="110">
        <f>AI27-1</f>
        <v>65</v>
      </c>
      <c r="BN27" s="79">
        <v>67</v>
      </c>
      <c r="BO27" s="18"/>
      <c r="BP27" s="110">
        <f>BC27-1</f>
        <v>53</v>
      </c>
      <c r="BQ27" s="75"/>
      <c r="BR27" s="18"/>
      <c r="BS27" s="76"/>
      <c r="BT27" s="75"/>
      <c r="BU27" s="18"/>
      <c r="BV27" s="78">
        <v>23</v>
      </c>
      <c r="BW27" s="110">
        <f>AT27+2</f>
        <v>78</v>
      </c>
      <c r="BX27" s="75"/>
      <c r="BY27" s="18"/>
      <c r="BZ27" s="110">
        <f>AI27+2</f>
        <v>68</v>
      </c>
      <c r="CA27" s="79">
        <v>67</v>
      </c>
      <c r="CB27" s="18"/>
      <c r="CC27" s="110">
        <f>BC27+2</f>
        <v>56</v>
      </c>
      <c r="CD27" s="75"/>
      <c r="CE27" s="18"/>
      <c r="CF27" s="76"/>
      <c r="CG27" s="75"/>
      <c r="CH27" s="18"/>
      <c r="CI27" s="78">
        <v>23</v>
      </c>
      <c r="CJ27" s="110">
        <f>AT27+1</f>
        <v>77</v>
      </c>
      <c r="CK27" s="75"/>
      <c r="CL27" s="18"/>
      <c r="CM27" s="110">
        <f>AI27+1</f>
        <v>67</v>
      </c>
      <c r="CN27" s="79">
        <v>67</v>
      </c>
      <c r="CO27" s="18"/>
      <c r="CP27" s="110">
        <f>BC27+1</f>
        <v>55</v>
      </c>
      <c r="CQ27" s="75"/>
      <c r="CR27" s="18"/>
      <c r="CS27" s="76"/>
      <c r="CT27" s="75"/>
      <c r="CU27" s="18"/>
      <c r="CV27" s="78">
        <v>23</v>
      </c>
      <c r="CW27" s="79">
        <f>(AW27+AZ27+BC27+BF27)/4</f>
        <v>49</v>
      </c>
      <c r="CX27" s="79">
        <f>(BJ27+BM27+BP27+BS27)/4</f>
        <v>48.25</v>
      </c>
      <c r="CY27" s="79">
        <f>(BW27+BZ27+CC27+CF27)/4</f>
        <v>50.5</v>
      </c>
      <c r="CZ27" s="79">
        <f>(CJ27+CM27+CP27+CS27)/4</f>
        <v>49.75</v>
      </c>
      <c r="DA27" s="18"/>
      <c r="DB27" s="80">
        <f>SUM(CW27:CZ27)/4</f>
        <v>49.375</v>
      </c>
      <c r="DC27" s="18"/>
      <c r="DD27" s="79">
        <f>DB27*0.5</f>
        <v>24.6875</v>
      </c>
      <c r="DE27" s="75"/>
      <c r="DF27" s="79">
        <f>DE27*0.5</f>
        <v>0</v>
      </c>
      <c r="DG27" s="81">
        <f>DF27+DD27</f>
        <v>24.6875</v>
      </c>
      <c r="DH27" s="18"/>
      <c r="DI27" s="79">
        <f>DB27*0.3</f>
        <v>14.8125</v>
      </c>
      <c r="DJ27" s="75"/>
      <c r="DK27" s="79">
        <f>DJ27*0.7</f>
        <v>0</v>
      </c>
      <c r="DL27" s="81">
        <f>DK27+DI27</f>
        <v>14.8125</v>
      </c>
    </row>
    <row r="28" ht="24.75" customHeight="1">
      <c r="A28" s="105"/>
      <c r="B28" s="106">
        <v>24</v>
      </c>
      <c r="C28" t="s" s="70">
        <v>219</v>
      </c>
      <c r="D28" t="s" s="71">
        <v>220</v>
      </c>
      <c r="E28" t="s" s="72">
        <v>43</v>
      </c>
      <c r="F28" t="s" s="113">
        <v>43</v>
      </c>
      <c r="G28" s="74"/>
      <c r="H28" t="s" s="113">
        <v>43</v>
      </c>
      <c r="I28" t="s" s="72">
        <v>191</v>
      </c>
      <c r="J28" t="s" s="113">
        <v>43</v>
      </c>
      <c r="K28" t="s" s="83">
        <v>162</v>
      </c>
      <c r="L28" t="s" s="83">
        <v>43</v>
      </c>
      <c r="M28" t="s" s="83">
        <v>221</v>
      </c>
      <c r="N28" s="132">
        <v>10</v>
      </c>
      <c r="O28" s="133">
        <v>10</v>
      </c>
      <c r="P28" s="133">
        <v>8</v>
      </c>
      <c r="Q28" s="133">
        <v>7</v>
      </c>
      <c r="R28" s="135"/>
      <c r="S28" s="133">
        <v>9</v>
      </c>
      <c r="T28" s="134">
        <v>9</v>
      </c>
      <c r="U28" s="110">
        <v>9</v>
      </c>
      <c r="V28" s="79">
        <v>8</v>
      </c>
      <c r="W28" s="79">
        <v>12</v>
      </c>
      <c r="X28" s="79">
        <v>3</v>
      </c>
      <c r="Y28" s="108">
        <f>N28+O28+P28+Q28+S28+T28+U28+V28+W28+X28+R28</f>
        <v>85</v>
      </c>
      <c r="Z28" s="136"/>
      <c r="AA28" s="136"/>
      <c r="AB28" s="137">
        <v>8</v>
      </c>
      <c r="AC28" s="137">
        <v>8</v>
      </c>
      <c r="AD28" s="137">
        <v>8</v>
      </c>
      <c r="AE28" s="137">
        <v>10</v>
      </c>
      <c r="AF28" s="137">
        <v>10</v>
      </c>
      <c r="AG28" s="137">
        <v>0</v>
      </c>
      <c r="AH28" s="137">
        <v>23</v>
      </c>
      <c r="AI28" s="138">
        <v>72</v>
      </c>
      <c r="AJ28" t="s" s="129">
        <v>222</v>
      </c>
      <c r="AK28" s="112">
        <v>24</v>
      </c>
      <c r="AL28" s="110">
        <v>10</v>
      </c>
      <c r="AM28" s="79">
        <v>18</v>
      </c>
      <c r="AN28" s="110">
        <v>20</v>
      </c>
      <c r="AO28" s="79">
        <v>10</v>
      </c>
      <c r="AP28" s="79">
        <v>0</v>
      </c>
      <c r="AQ28" s="110">
        <v>9</v>
      </c>
      <c r="AR28" s="77">
        <v>18</v>
      </c>
      <c r="AS28" s="76"/>
      <c r="AT28" s="77">
        <f>SUM(AL28:AS28)</f>
        <v>85</v>
      </c>
      <c r="AU28" s="18"/>
      <c r="AV28" s="78">
        <v>24</v>
      </c>
      <c r="AW28" s="110">
        <f>AT28+0</f>
        <v>85</v>
      </c>
      <c r="AX28" s="75"/>
      <c r="AY28" s="18"/>
      <c r="AZ28" s="110">
        <f>AI28</f>
        <v>72</v>
      </c>
      <c r="BA28" s="75"/>
      <c r="BB28" s="18"/>
      <c r="BC28" s="110">
        <f>Y28</f>
        <v>85</v>
      </c>
      <c r="BD28" s="75"/>
      <c r="BE28" s="18"/>
      <c r="BF28" s="76"/>
      <c r="BG28" s="75"/>
      <c r="BH28" s="18"/>
      <c r="BI28" s="78">
        <v>24</v>
      </c>
      <c r="BJ28" s="110">
        <f>AT28-1</f>
        <v>84</v>
      </c>
      <c r="BK28" s="75"/>
      <c r="BL28" s="18"/>
      <c r="BM28" s="110">
        <f>AI28-1</f>
        <v>71</v>
      </c>
      <c r="BN28" s="75"/>
      <c r="BO28" s="18"/>
      <c r="BP28" s="110">
        <f>BC28-1</f>
        <v>84</v>
      </c>
      <c r="BQ28" s="75"/>
      <c r="BR28" s="18"/>
      <c r="BS28" s="76"/>
      <c r="BT28" s="75"/>
      <c r="BU28" s="18"/>
      <c r="BV28" s="78">
        <v>24</v>
      </c>
      <c r="BW28" s="110">
        <f>AT28+2</f>
        <v>87</v>
      </c>
      <c r="BX28" s="75"/>
      <c r="BY28" s="18"/>
      <c r="BZ28" s="110">
        <f>AI28+2</f>
        <v>74</v>
      </c>
      <c r="CA28" s="75"/>
      <c r="CB28" s="18"/>
      <c r="CC28" s="110">
        <f>BC28+2</f>
        <v>87</v>
      </c>
      <c r="CD28" s="75"/>
      <c r="CE28" s="18"/>
      <c r="CF28" s="76"/>
      <c r="CG28" s="75"/>
      <c r="CH28" s="18"/>
      <c r="CI28" s="78">
        <v>24</v>
      </c>
      <c r="CJ28" s="110">
        <f>AT28+1</f>
        <v>86</v>
      </c>
      <c r="CK28" s="75"/>
      <c r="CL28" s="18"/>
      <c r="CM28" s="110">
        <f>AI28+1</f>
        <v>73</v>
      </c>
      <c r="CN28" s="75"/>
      <c r="CO28" s="18"/>
      <c r="CP28" s="110">
        <f>BC28+1</f>
        <v>86</v>
      </c>
      <c r="CQ28" s="75"/>
      <c r="CR28" s="18"/>
      <c r="CS28" s="76"/>
      <c r="CT28" s="75"/>
      <c r="CU28" s="18"/>
      <c r="CV28" s="78">
        <v>24</v>
      </c>
      <c r="CW28" s="79">
        <f>(AW28+AZ28+BC28+BF28)/4</f>
        <v>60.5</v>
      </c>
      <c r="CX28" s="79">
        <f>(BJ28+BM28+BP28+BS28)/4</f>
        <v>59.75</v>
      </c>
      <c r="CY28" s="79">
        <f>(BW28+BZ28+CC28+CF28)/4</f>
        <v>62</v>
      </c>
      <c r="CZ28" s="79">
        <f>(CJ28+CM28+CP28+CS28)/4</f>
        <v>61.25</v>
      </c>
      <c r="DA28" s="18"/>
      <c r="DB28" s="80">
        <f>SUM(CW28:CZ28)/4</f>
        <v>60.875</v>
      </c>
      <c r="DC28" s="18"/>
      <c r="DD28" s="79">
        <f>DB28*0.5</f>
        <v>30.4375</v>
      </c>
      <c r="DE28" s="75"/>
      <c r="DF28" s="79">
        <f>DE28*0.5</f>
        <v>0</v>
      </c>
      <c r="DG28" s="81">
        <f>DF28+DD28</f>
        <v>30.4375</v>
      </c>
      <c r="DH28" s="18"/>
      <c r="DI28" s="79">
        <f>DB28*0.3</f>
        <v>18.2625</v>
      </c>
      <c r="DJ28" s="75"/>
      <c r="DK28" s="79">
        <f>DJ28*0.7</f>
        <v>0</v>
      </c>
      <c r="DL28" s="81">
        <f>DK28+DI28</f>
        <v>18.2625</v>
      </c>
    </row>
    <row r="29" ht="24.75" customHeight="1">
      <c r="A29" s="105"/>
      <c r="B29" s="106">
        <v>25</v>
      </c>
      <c r="C29" t="s" s="70">
        <v>223</v>
      </c>
      <c r="D29" t="s" s="71">
        <v>224</v>
      </c>
      <c r="E29" t="s" s="72">
        <v>43</v>
      </c>
      <c r="F29" t="s" s="113">
        <v>162</v>
      </c>
      <c r="G29" s="74"/>
      <c r="H29" t="s" s="113">
        <v>43</v>
      </c>
      <c r="I29" t="s" s="72">
        <v>43</v>
      </c>
      <c r="J29" t="s" s="113">
        <v>43</v>
      </c>
      <c r="K29" t="s" s="83">
        <v>161</v>
      </c>
      <c r="L29" t="s" s="83">
        <v>43</v>
      </c>
      <c r="M29" t="s" s="127">
        <v>43</v>
      </c>
      <c r="N29" s="79">
        <v>8</v>
      </c>
      <c r="O29" s="79">
        <v>9</v>
      </c>
      <c r="P29" s="79">
        <v>7</v>
      </c>
      <c r="Q29" s="79">
        <v>4</v>
      </c>
      <c r="R29" s="75"/>
      <c r="S29" s="79">
        <v>7</v>
      </c>
      <c r="T29" s="79">
        <v>9</v>
      </c>
      <c r="U29" s="137">
        <v>8</v>
      </c>
      <c r="V29" s="137">
        <v>8</v>
      </c>
      <c r="W29" t="s" s="139">
        <v>225</v>
      </c>
      <c r="X29" s="79">
        <v>3</v>
      </c>
      <c r="Y29" s="35">
        <f>N29+O29+P29+Q29+S29+T29+U29+V29+W29+X29+R29</f>
      </c>
      <c r="Z29" s="75"/>
      <c r="AA29" s="75"/>
      <c r="AB29" s="79">
        <v>10</v>
      </c>
      <c r="AC29" s="110">
        <v>9</v>
      </c>
      <c r="AD29" s="79">
        <v>9</v>
      </c>
      <c r="AE29" s="110">
        <v>17</v>
      </c>
      <c r="AF29" s="79">
        <v>11</v>
      </c>
      <c r="AG29" s="110">
        <v>0</v>
      </c>
      <c r="AH29" s="79">
        <v>23</v>
      </c>
      <c r="AI29" s="111">
        <f>AB29+AC29+AD29+AE29+AF29+AG29+AH29</f>
        <v>79</v>
      </c>
      <c r="AJ29" t="s" s="129">
        <v>226</v>
      </c>
      <c r="AK29" s="112">
        <v>25</v>
      </c>
      <c r="AL29" s="110">
        <v>10</v>
      </c>
      <c r="AM29" s="79">
        <v>18</v>
      </c>
      <c r="AN29" s="110">
        <v>20</v>
      </c>
      <c r="AO29" s="79">
        <v>8</v>
      </c>
      <c r="AP29" s="75"/>
      <c r="AQ29" s="110">
        <v>9</v>
      </c>
      <c r="AR29" s="77">
        <v>18</v>
      </c>
      <c r="AS29" s="76"/>
      <c r="AT29" s="77">
        <f>SUM(AL29:AS29)</f>
        <v>83</v>
      </c>
      <c r="AU29" s="18"/>
      <c r="AV29" s="78">
        <v>25</v>
      </c>
      <c r="AW29" s="110">
        <f>AT29+0</f>
        <v>83</v>
      </c>
      <c r="AX29" s="75"/>
      <c r="AY29" s="18"/>
      <c r="AZ29" s="110">
        <f>AI29</f>
        <v>79</v>
      </c>
      <c r="BA29" s="75"/>
      <c r="BB29" s="18"/>
      <c r="BC29" s="76">
        <f>Y29</f>
      </c>
      <c r="BD29" s="75"/>
      <c r="BE29" s="18"/>
      <c r="BF29" s="76"/>
      <c r="BG29" s="75"/>
      <c r="BH29" s="18"/>
      <c r="BI29" s="78">
        <v>25</v>
      </c>
      <c r="BJ29" s="110">
        <f>AT29-1</f>
        <v>82</v>
      </c>
      <c r="BK29" s="75"/>
      <c r="BL29" s="18"/>
      <c r="BM29" s="110">
        <f>AI29-1</f>
        <v>78</v>
      </c>
      <c r="BN29" s="75"/>
      <c r="BO29" s="18"/>
      <c r="BP29" s="76">
        <f>BC29-1</f>
      </c>
      <c r="BQ29" s="75"/>
      <c r="BR29" s="18"/>
      <c r="BS29" s="76"/>
      <c r="BT29" s="75"/>
      <c r="BU29" s="18"/>
      <c r="BV29" s="78">
        <v>25</v>
      </c>
      <c r="BW29" s="110">
        <f>AT29+2</f>
        <v>85</v>
      </c>
      <c r="BX29" s="75"/>
      <c r="BY29" s="18"/>
      <c r="BZ29" s="110">
        <f>AI29+2</f>
        <v>81</v>
      </c>
      <c r="CA29" s="75"/>
      <c r="CB29" s="18"/>
      <c r="CC29" s="76">
        <f>BC29+2</f>
      </c>
      <c r="CD29" s="75"/>
      <c r="CE29" s="18"/>
      <c r="CF29" s="76"/>
      <c r="CG29" s="75"/>
      <c r="CH29" s="18"/>
      <c r="CI29" s="78">
        <v>25</v>
      </c>
      <c r="CJ29" s="110">
        <f>AT29+1</f>
        <v>84</v>
      </c>
      <c r="CK29" s="75"/>
      <c r="CL29" s="18"/>
      <c r="CM29" s="110">
        <f>AI29+1</f>
        <v>80</v>
      </c>
      <c r="CN29" s="75"/>
      <c r="CO29" s="18"/>
      <c r="CP29" s="76">
        <f>BC29+1</f>
      </c>
      <c r="CQ29" s="75"/>
      <c r="CR29" s="18"/>
      <c r="CS29" s="76"/>
      <c r="CT29" s="75"/>
      <c r="CU29" s="18"/>
      <c r="CV29" s="78">
        <v>25</v>
      </c>
      <c r="CW29" s="75">
        <f>(AW29+AZ29+BC29+BF29)/4</f>
      </c>
      <c r="CX29" s="75">
        <f>(BJ29+BM29+BP29+BS29)/4</f>
      </c>
      <c r="CY29" s="75">
        <f>(BW29+BZ29+CC29+CF29)/4</f>
      </c>
      <c r="CZ29" s="75">
        <f>(CJ29+CM29+CP29+CS29)/4</f>
      </c>
      <c r="DA29" s="18"/>
      <c r="DB29" s="140">
        <f>SUM(CW29:CZ29)/4</f>
      </c>
      <c r="DC29" s="18"/>
      <c r="DD29" s="75">
        <f>DB29*0.5</f>
      </c>
      <c r="DE29" s="75"/>
      <c r="DF29" s="79">
        <f>DE29*0.5</f>
        <v>0</v>
      </c>
      <c r="DG29" s="141">
        <f>DF29+DD29</f>
      </c>
      <c r="DH29" s="18"/>
      <c r="DI29" s="75">
        <f>DB29*0.3</f>
      </c>
      <c r="DJ29" s="75"/>
      <c r="DK29" s="79">
        <f>DJ29*0.7</f>
        <v>0</v>
      </c>
      <c r="DL29" s="141">
        <f>DK29+DI29</f>
      </c>
    </row>
    <row r="30" ht="24.75" customHeight="1">
      <c r="A30" s="105"/>
      <c r="B30" s="106">
        <v>26</v>
      </c>
      <c r="C30" t="s" s="70">
        <v>227</v>
      </c>
      <c r="D30" t="s" s="71">
        <v>228</v>
      </c>
      <c r="E30" t="s" s="72">
        <v>43</v>
      </c>
      <c r="F30" t="s" s="113">
        <v>43</v>
      </c>
      <c r="G30" s="74"/>
      <c r="H30" t="s" s="113">
        <v>161</v>
      </c>
      <c r="I30" t="s" s="72">
        <v>43</v>
      </c>
      <c r="J30" t="s" s="113">
        <v>43</v>
      </c>
      <c r="K30" t="s" s="83">
        <v>162</v>
      </c>
      <c r="L30" s="79">
        <v>-3</v>
      </c>
      <c r="M30" t="s" s="83">
        <v>43</v>
      </c>
      <c r="N30" s="79">
        <v>10</v>
      </c>
      <c r="O30" s="79">
        <v>10</v>
      </c>
      <c r="P30" s="79">
        <v>10</v>
      </c>
      <c r="Q30" s="79">
        <v>10</v>
      </c>
      <c r="R30" s="79">
        <v>10</v>
      </c>
      <c r="S30" s="79">
        <v>10</v>
      </c>
      <c r="T30" s="79">
        <v>7</v>
      </c>
      <c r="U30" s="110">
        <v>9</v>
      </c>
      <c r="V30" s="79">
        <v>9</v>
      </c>
      <c r="W30" s="79">
        <v>10</v>
      </c>
      <c r="X30" s="79">
        <v>3</v>
      </c>
      <c r="Y30" s="108">
        <f>N30+O30+P30+Q30+S30+T30+U30+V30+W30+X30+R30</f>
        <v>98</v>
      </c>
      <c r="Z30" s="79">
        <v>1</v>
      </c>
      <c r="AA30" s="75"/>
      <c r="AB30" s="79">
        <v>8</v>
      </c>
      <c r="AC30" s="110">
        <v>8</v>
      </c>
      <c r="AD30" s="79">
        <v>9</v>
      </c>
      <c r="AE30" s="110">
        <v>17</v>
      </c>
      <c r="AF30" s="79">
        <v>15</v>
      </c>
      <c r="AG30" s="110">
        <v>5</v>
      </c>
      <c r="AH30" s="79">
        <v>23</v>
      </c>
      <c r="AI30" s="128">
        <f>AB30+AC30+AD30+AE30+AF30+AG30+AH30</f>
        <v>85</v>
      </c>
      <c r="AJ30" t="s" s="129">
        <v>196</v>
      </c>
      <c r="AK30" s="112">
        <v>26</v>
      </c>
      <c r="AL30" s="110">
        <v>10</v>
      </c>
      <c r="AM30" s="79">
        <v>18</v>
      </c>
      <c r="AN30" s="110">
        <v>20</v>
      </c>
      <c r="AO30" s="79">
        <v>10</v>
      </c>
      <c r="AP30" s="79">
        <v>10</v>
      </c>
      <c r="AQ30" s="110">
        <v>7</v>
      </c>
      <c r="AR30" s="77">
        <v>18</v>
      </c>
      <c r="AS30" s="76"/>
      <c r="AT30" s="77">
        <f>SUM(AL30:AS30)</f>
        <v>93</v>
      </c>
      <c r="AU30" s="18"/>
      <c r="AV30" s="78">
        <v>26</v>
      </c>
      <c r="AW30" s="110">
        <f>AT30+0</f>
        <v>93</v>
      </c>
      <c r="AX30" s="75"/>
      <c r="AY30" s="18"/>
      <c r="AZ30" s="110">
        <f>AI30</f>
        <v>85</v>
      </c>
      <c r="BA30" s="75"/>
      <c r="BB30" s="18"/>
      <c r="BC30" s="110">
        <f>Y30</f>
        <v>98</v>
      </c>
      <c r="BD30" s="75"/>
      <c r="BE30" s="18"/>
      <c r="BF30" s="76"/>
      <c r="BG30" s="75"/>
      <c r="BH30" s="18"/>
      <c r="BI30" s="78">
        <v>26</v>
      </c>
      <c r="BJ30" s="110">
        <f>AT30-1</f>
        <v>92</v>
      </c>
      <c r="BK30" s="75"/>
      <c r="BL30" s="18"/>
      <c r="BM30" s="110">
        <f>AI30-1</f>
        <v>84</v>
      </c>
      <c r="BN30" s="75"/>
      <c r="BO30" s="18"/>
      <c r="BP30" s="110">
        <f>BC30-1</f>
        <v>97</v>
      </c>
      <c r="BQ30" s="75"/>
      <c r="BR30" s="18"/>
      <c r="BS30" s="76"/>
      <c r="BT30" s="75"/>
      <c r="BU30" s="18"/>
      <c r="BV30" s="78">
        <v>26</v>
      </c>
      <c r="BW30" s="110">
        <f>AT30+2</f>
        <v>95</v>
      </c>
      <c r="BX30" s="75"/>
      <c r="BY30" s="18"/>
      <c r="BZ30" s="110">
        <f>AI30+2</f>
        <v>87</v>
      </c>
      <c r="CA30" s="75"/>
      <c r="CB30" s="18"/>
      <c r="CC30" s="110">
        <f>BC30+2</f>
        <v>100</v>
      </c>
      <c r="CD30" s="75"/>
      <c r="CE30" s="18"/>
      <c r="CF30" s="76"/>
      <c r="CG30" s="75"/>
      <c r="CH30" s="18"/>
      <c r="CI30" s="78">
        <v>26</v>
      </c>
      <c r="CJ30" s="110">
        <f>AT30+1</f>
        <v>94</v>
      </c>
      <c r="CK30" s="75"/>
      <c r="CL30" s="18"/>
      <c r="CM30" s="110">
        <f>AI30+1</f>
        <v>86</v>
      </c>
      <c r="CN30" s="75"/>
      <c r="CO30" s="18"/>
      <c r="CP30" s="110">
        <f>BC30+1</f>
        <v>99</v>
      </c>
      <c r="CQ30" s="75"/>
      <c r="CR30" s="18"/>
      <c r="CS30" s="76"/>
      <c r="CT30" s="75"/>
      <c r="CU30" s="18"/>
      <c r="CV30" s="78">
        <v>26</v>
      </c>
      <c r="CW30" s="79">
        <f>(AW30+AZ30+BC30+BF30)/4</f>
        <v>69</v>
      </c>
      <c r="CX30" s="79">
        <f>(BJ30+BM30+BP30+BS30)/4</f>
        <v>68.25</v>
      </c>
      <c r="CY30" s="79">
        <f>(BW30+BZ30+CC30+CF30)/4</f>
        <v>70.5</v>
      </c>
      <c r="CZ30" s="79">
        <f>(CJ30+CM30+CP30+CS30)/4</f>
        <v>69.75</v>
      </c>
      <c r="DA30" s="18"/>
      <c r="DB30" s="80">
        <f>SUM(CW30:CZ30)/4</f>
        <v>69.375</v>
      </c>
      <c r="DC30" s="18"/>
      <c r="DD30" s="79">
        <f>DB30*0.5</f>
        <v>34.6875</v>
      </c>
      <c r="DE30" s="75"/>
      <c r="DF30" s="79">
        <f>DE30*0.5</f>
        <v>0</v>
      </c>
      <c r="DG30" s="81">
        <f>DF30+DD30</f>
        <v>34.6875</v>
      </c>
      <c r="DH30" s="18"/>
      <c r="DI30" s="79">
        <f>DB30*0.3</f>
        <v>20.8125</v>
      </c>
      <c r="DJ30" s="75"/>
      <c r="DK30" s="79">
        <f>DJ30*0.7</f>
        <v>0</v>
      </c>
      <c r="DL30" s="81">
        <f>DK30+DI30</f>
        <v>20.8125</v>
      </c>
    </row>
    <row r="31" ht="24.75" customHeight="1">
      <c r="A31" s="105"/>
      <c r="B31" s="106">
        <v>27</v>
      </c>
      <c r="C31" t="s" s="70">
        <v>96</v>
      </c>
      <c r="D31" t="s" s="71">
        <v>229</v>
      </c>
      <c r="E31" t="s" s="72">
        <v>43</v>
      </c>
      <c r="F31" t="s" s="113">
        <v>161</v>
      </c>
      <c r="G31" s="74"/>
      <c r="H31" t="s" s="113">
        <v>161</v>
      </c>
      <c r="I31" t="s" s="72">
        <v>43</v>
      </c>
      <c r="J31" t="s" s="113">
        <v>43</v>
      </c>
      <c r="K31" t="s" s="83">
        <v>43</v>
      </c>
      <c r="L31" t="s" s="83">
        <v>43</v>
      </c>
      <c r="M31" t="s" s="83">
        <v>43</v>
      </c>
      <c r="N31" s="79">
        <v>10</v>
      </c>
      <c r="O31" s="79">
        <v>10</v>
      </c>
      <c r="P31" s="79">
        <v>8</v>
      </c>
      <c r="Q31" s="79">
        <v>8</v>
      </c>
      <c r="R31" s="75"/>
      <c r="S31" s="79">
        <v>10</v>
      </c>
      <c r="T31" s="79">
        <v>10</v>
      </c>
      <c r="U31" s="110">
        <v>8</v>
      </c>
      <c r="V31" s="79">
        <v>9</v>
      </c>
      <c r="W31" s="79">
        <v>15</v>
      </c>
      <c r="X31" s="79">
        <v>3</v>
      </c>
      <c r="Y31" s="108">
        <f>N31+O31+P31+Q31+S31+T31+U31+V31+W31+X31+R31</f>
        <v>91</v>
      </c>
      <c r="Z31" s="75"/>
      <c r="AA31" s="75"/>
      <c r="AB31" s="79">
        <v>8</v>
      </c>
      <c r="AC31" s="110">
        <v>8</v>
      </c>
      <c r="AD31" s="79">
        <v>9</v>
      </c>
      <c r="AE31" s="110">
        <v>17</v>
      </c>
      <c r="AF31" s="79">
        <v>10</v>
      </c>
      <c r="AG31" s="110">
        <v>4</v>
      </c>
      <c r="AH31" s="79">
        <v>23</v>
      </c>
      <c r="AI31" s="111">
        <f>AB31+AC31+AD31+AE31+AF31+AG31+AH31</f>
        <v>79</v>
      </c>
      <c r="AJ31" s="18"/>
      <c r="AK31" s="112">
        <v>27</v>
      </c>
      <c r="AL31" s="110">
        <v>10</v>
      </c>
      <c r="AM31" s="79">
        <v>20</v>
      </c>
      <c r="AN31" s="110">
        <v>20</v>
      </c>
      <c r="AO31" s="79">
        <v>10</v>
      </c>
      <c r="AP31" s="79">
        <v>14</v>
      </c>
      <c r="AQ31" s="110">
        <v>10</v>
      </c>
      <c r="AR31" s="77">
        <v>18</v>
      </c>
      <c r="AS31" s="76"/>
      <c r="AT31" s="142">
        <f>SUM(AL31:AS31)</f>
        <v>102</v>
      </c>
      <c r="AU31" t="s" s="129">
        <v>230</v>
      </c>
      <c r="AV31" s="78">
        <v>27</v>
      </c>
      <c r="AW31" s="110">
        <v>100</v>
      </c>
      <c r="AX31" s="75"/>
      <c r="AY31" s="18"/>
      <c r="AZ31" s="110">
        <f>AI31</f>
        <v>79</v>
      </c>
      <c r="BA31" s="75"/>
      <c r="BB31" s="18"/>
      <c r="BC31" s="110">
        <f>Y31</f>
        <v>91</v>
      </c>
      <c r="BD31" s="75"/>
      <c r="BE31" s="18"/>
      <c r="BF31" s="76"/>
      <c r="BG31" s="75"/>
      <c r="BH31" s="18"/>
      <c r="BI31" s="78">
        <v>27</v>
      </c>
      <c r="BJ31" s="110">
        <f>AT31-1</f>
        <v>101</v>
      </c>
      <c r="BK31" s="75"/>
      <c r="BL31" s="18"/>
      <c r="BM31" s="110">
        <f>AI31-1</f>
        <v>78</v>
      </c>
      <c r="BN31" s="75"/>
      <c r="BO31" s="18"/>
      <c r="BP31" s="110">
        <f>BC31-1</f>
        <v>90</v>
      </c>
      <c r="BQ31" s="75"/>
      <c r="BR31" s="18"/>
      <c r="BS31" s="76"/>
      <c r="BT31" s="75"/>
      <c r="BU31" s="18"/>
      <c r="BV31" s="78">
        <v>27</v>
      </c>
      <c r="BW31" s="110">
        <f>AT31+2</f>
        <v>104</v>
      </c>
      <c r="BX31" s="75"/>
      <c r="BY31" s="18"/>
      <c r="BZ31" s="110">
        <f>AI31+2</f>
        <v>81</v>
      </c>
      <c r="CA31" s="75"/>
      <c r="CB31" s="18"/>
      <c r="CC31" s="110">
        <f>BC31+2</f>
        <v>93</v>
      </c>
      <c r="CD31" s="75"/>
      <c r="CE31" s="18"/>
      <c r="CF31" s="76"/>
      <c r="CG31" s="75"/>
      <c r="CH31" s="18"/>
      <c r="CI31" s="78">
        <v>27</v>
      </c>
      <c r="CJ31" s="110">
        <f>AT31+1</f>
        <v>103</v>
      </c>
      <c r="CK31" s="75"/>
      <c r="CL31" s="18"/>
      <c r="CM31" s="110">
        <f>AI31+1</f>
        <v>80</v>
      </c>
      <c r="CN31" s="75"/>
      <c r="CO31" s="18"/>
      <c r="CP31" s="110">
        <f>BC31+1</f>
        <v>92</v>
      </c>
      <c r="CQ31" s="75"/>
      <c r="CR31" s="18"/>
      <c r="CS31" s="76"/>
      <c r="CT31" s="75"/>
      <c r="CU31" s="18"/>
      <c r="CV31" s="78">
        <v>27</v>
      </c>
      <c r="CW31" s="79">
        <f>(AW31+AZ31+BC31+BF31)/4</f>
        <v>67.5</v>
      </c>
      <c r="CX31" s="79">
        <f>(BJ31+BM31+BP31+BS31)/4</f>
        <v>67.25</v>
      </c>
      <c r="CY31" s="79">
        <f>(BW31+BZ31+CC31+CF31)/4</f>
        <v>69.5</v>
      </c>
      <c r="CZ31" s="79">
        <f>(CJ31+CM31+CP31+CS31)/4</f>
        <v>68.75</v>
      </c>
      <c r="DA31" s="18"/>
      <c r="DB31" s="80">
        <f>SUM(CW31:CZ31)/4</f>
        <v>68.25</v>
      </c>
      <c r="DC31" s="18"/>
      <c r="DD31" s="79">
        <f>DB31*0.5</f>
        <v>34.125</v>
      </c>
      <c r="DE31" s="75"/>
      <c r="DF31" s="79">
        <f>DE31*0.5</f>
        <v>0</v>
      </c>
      <c r="DG31" s="81">
        <f>DF31+DD31</f>
        <v>34.125</v>
      </c>
      <c r="DH31" s="18"/>
      <c r="DI31" s="79">
        <f>DB31*0.3</f>
        <v>20.475</v>
      </c>
      <c r="DJ31" s="75"/>
      <c r="DK31" s="79">
        <f>DJ31*0.7</f>
        <v>0</v>
      </c>
      <c r="DL31" s="81">
        <f>DK31+DI31</f>
        <v>20.475</v>
      </c>
    </row>
    <row r="32" ht="24.75" customHeight="1">
      <c r="A32" s="105"/>
      <c r="B32" s="106">
        <v>28</v>
      </c>
      <c r="C32" t="s" s="70">
        <v>231</v>
      </c>
      <c r="D32" t="s" s="71">
        <v>232</v>
      </c>
      <c r="E32" t="s" s="72">
        <v>43</v>
      </c>
      <c r="F32" t="s" s="113">
        <v>43</v>
      </c>
      <c r="G32" s="74"/>
      <c r="H32" t="s" s="113">
        <v>161</v>
      </c>
      <c r="I32" t="s" s="72">
        <v>43</v>
      </c>
      <c r="J32" t="s" s="113">
        <v>43</v>
      </c>
      <c r="K32" t="s" s="83">
        <v>162</v>
      </c>
      <c r="L32" t="s" s="83">
        <v>43</v>
      </c>
      <c r="M32" t="s" s="83">
        <v>43</v>
      </c>
      <c r="N32" s="79">
        <v>10</v>
      </c>
      <c r="O32" s="79">
        <v>10</v>
      </c>
      <c r="P32" s="79">
        <v>10</v>
      </c>
      <c r="Q32" s="79">
        <v>10</v>
      </c>
      <c r="R32" s="79">
        <v>10</v>
      </c>
      <c r="S32" s="79">
        <v>10</v>
      </c>
      <c r="T32" s="79">
        <v>10</v>
      </c>
      <c r="U32" s="110">
        <v>8</v>
      </c>
      <c r="V32" s="79">
        <v>9</v>
      </c>
      <c r="W32" s="79">
        <v>13</v>
      </c>
      <c r="X32" s="79">
        <v>3</v>
      </c>
      <c r="Y32" s="108">
        <f>N32+O32+P32+Q32+S32+T32+U32+V32+W32+X32+R32</f>
        <v>103</v>
      </c>
      <c r="Z32" s="79">
        <v>1</v>
      </c>
      <c r="AA32" s="75"/>
      <c r="AB32" s="79">
        <v>8</v>
      </c>
      <c r="AC32" s="110">
        <v>10</v>
      </c>
      <c r="AD32" s="79">
        <v>10</v>
      </c>
      <c r="AE32" s="110">
        <v>19</v>
      </c>
      <c r="AF32" s="79">
        <v>20</v>
      </c>
      <c r="AG32" s="110">
        <v>10</v>
      </c>
      <c r="AH32" s="79">
        <v>23</v>
      </c>
      <c r="AI32" s="111">
        <f>AB32+AC32+AD32+AE32+AF32+AG32+AH32</f>
        <v>100</v>
      </c>
      <c r="AJ32" s="18"/>
      <c r="AK32" s="112">
        <v>28</v>
      </c>
      <c r="AL32" s="110">
        <v>10</v>
      </c>
      <c r="AM32" s="79">
        <v>20</v>
      </c>
      <c r="AN32" s="110">
        <v>20</v>
      </c>
      <c r="AO32" s="79">
        <v>10</v>
      </c>
      <c r="AP32" s="79">
        <v>15</v>
      </c>
      <c r="AQ32" s="110">
        <v>10</v>
      </c>
      <c r="AR32" s="77">
        <v>18</v>
      </c>
      <c r="AS32" s="76"/>
      <c r="AT32" s="77">
        <f>SUM(AL32:AS32)</f>
        <v>103</v>
      </c>
      <c r="AU32" s="18"/>
      <c r="AV32" s="78">
        <v>28</v>
      </c>
      <c r="AW32" s="110">
        <v>100</v>
      </c>
      <c r="AX32" s="75"/>
      <c r="AY32" s="18"/>
      <c r="AZ32" s="110">
        <f>AI32</f>
        <v>100</v>
      </c>
      <c r="BA32" s="75"/>
      <c r="BB32" s="18"/>
      <c r="BC32" s="110">
        <v>100</v>
      </c>
      <c r="BD32" s="75"/>
      <c r="BE32" s="18"/>
      <c r="BF32" s="76"/>
      <c r="BG32" s="75"/>
      <c r="BH32" s="18"/>
      <c r="BI32" s="78">
        <v>28</v>
      </c>
      <c r="BJ32" s="110">
        <v>100</v>
      </c>
      <c r="BK32" s="75"/>
      <c r="BL32" s="18"/>
      <c r="BM32" s="110">
        <f>AI32-1</f>
        <v>99</v>
      </c>
      <c r="BN32" s="75"/>
      <c r="BO32" s="18"/>
      <c r="BP32" s="110">
        <f>BC32-1</f>
        <v>99</v>
      </c>
      <c r="BQ32" s="75"/>
      <c r="BR32" s="18"/>
      <c r="BS32" s="76"/>
      <c r="BT32" s="75"/>
      <c r="BU32" s="18"/>
      <c r="BV32" s="78">
        <v>28</v>
      </c>
      <c r="BW32" s="110">
        <v>100</v>
      </c>
      <c r="BX32" s="75"/>
      <c r="BY32" s="18"/>
      <c r="BZ32" s="110">
        <v>100</v>
      </c>
      <c r="CA32" s="75"/>
      <c r="CB32" s="18"/>
      <c r="CC32" s="110">
        <v>100</v>
      </c>
      <c r="CD32" s="75"/>
      <c r="CE32" s="18"/>
      <c r="CF32" s="76"/>
      <c r="CG32" s="75"/>
      <c r="CH32" s="18"/>
      <c r="CI32" s="78">
        <v>28</v>
      </c>
      <c r="CJ32" s="110">
        <v>100</v>
      </c>
      <c r="CK32" s="75"/>
      <c r="CL32" s="18"/>
      <c r="CM32" s="110">
        <v>100</v>
      </c>
      <c r="CN32" s="75"/>
      <c r="CO32" s="18"/>
      <c r="CP32" s="110">
        <v>100</v>
      </c>
      <c r="CQ32" s="75"/>
      <c r="CR32" s="18"/>
      <c r="CS32" s="76"/>
      <c r="CT32" s="75"/>
      <c r="CU32" s="18"/>
      <c r="CV32" s="78">
        <v>28</v>
      </c>
      <c r="CW32" s="79">
        <f>(AW32+AZ32+BC32+BF32)/4</f>
        <v>75</v>
      </c>
      <c r="CX32" s="79">
        <f>(BJ32+BM32+BP32+BS32)/4</f>
        <v>74.5</v>
      </c>
      <c r="CY32" s="79">
        <f>(BW32+BZ32+CC32+CF32)/4</f>
        <v>75</v>
      </c>
      <c r="CZ32" s="79">
        <f>(CJ32+CM32+CP32+CS32)/4</f>
        <v>75</v>
      </c>
      <c r="DA32" s="18"/>
      <c r="DB32" s="80">
        <f>SUM(CW32:CZ32)/4</f>
        <v>74.875</v>
      </c>
      <c r="DC32" s="18"/>
      <c r="DD32" s="79">
        <f>DB32*0.5</f>
        <v>37.4375</v>
      </c>
      <c r="DE32" s="75"/>
      <c r="DF32" s="79">
        <f>DE32*0.5</f>
        <v>0</v>
      </c>
      <c r="DG32" s="81">
        <f>DF32+DD32</f>
        <v>37.4375</v>
      </c>
      <c r="DH32" s="18"/>
      <c r="DI32" s="79">
        <f>DB32*0.3</f>
        <v>22.4625</v>
      </c>
      <c r="DJ32" s="75"/>
      <c r="DK32" s="79">
        <f>DJ32*0.7</f>
        <v>0</v>
      </c>
      <c r="DL32" s="81">
        <f>DK32+DI32</f>
        <v>22.4625</v>
      </c>
    </row>
    <row r="33" ht="24.75" customHeight="1">
      <c r="A33" s="105"/>
      <c r="B33" s="106">
        <v>29</v>
      </c>
      <c r="C33" t="s" s="70">
        <v>233</v>
      </c>
      <c r="D33" t="s" s="71">
        <v>234</v>
      </c>
      <c r="E33" t="s" s="72">
        <v>43</v>
      </c>
      <c r="F33" t="s" s="113">
        <v>43</v>
      </c>
      <c r="G33" s="74"/>
      <c r="H33" t="s" s="113">
        <v>43</v>
      </c>
      <c r="I33" t="s" s="72">
        <v>43</v>
      </c>
      <c r="J33" t="s" s="113">
        <v>43</v>
      </c>
      <c r="K33" t="s" s="83">
        <v>43</v>
      </c>
      <c r="L33" t="s" s="83">
        <v>43</v>
      </c>
      <c r="M33" t="s" s="127">
        <v>43</v>
      </c>
      <c r="N33" s="79">
        <v>10</v>
      </c>
      <c r="O33" s="79">
        <v>10</v>
      </c>
      <c r="P33" s="79">
        <v>8</v>
      </c>
      <c r="Q33" s="79">
        <v>9</v>
      </c>
      <c r="R33" s="75"/>
      <c r="S33" s="79">
        <v>9</v>
      </c>
      <c r="T33" s="79">
        <v>9</v>
      </c>
      <c r="U33" s="110">
        <v>10</v>
      </c>
      <c r="V33" s="79">
        <v>10</v>
      </c>
      <c r="W33" s="79">
        <v>12</v>
      </c>
      <c r="X33" s="79">
        <v>3</v>
      </c>
      <c r="Y33" s="108">
        <f>N33+O33+P33+Q33+S33+T33+U33+V33+W33+X33+R33</f>
        <v>90</v>
      </c>
      <c r="Z33" s="75"/>
      <c r="AA33" s="75"/>
      <c r="AB33" s="79">
        <v>10</v>
      </c>
      <c r="AC33" s="110">
        <v>9</v>
      </c>
      <c r="AD33" s="79">
        <v>8</v>
      </c>
      <c r="AE33" s="110">
        <v>17</v>
      </c>
      <c r="AF33" s="79">
        <v>13</v>
      </c>
      <c r="AG33" s="110">
        <v>0</v>
      </c>
      <c r="AH33" s="79">
        <v>23</v>
      </c>
      <c r="AI33" s="111">
        <f>AB33+AC33+AD33+AE33+AF33+AG33+AH33</f>
        <v>80</v>
      </c>
      <c r="AJ33" s="18"/>
      <c r="AK33" s="112">
        <v>29</v>
      </c>
      <c r="AL33" s="110">
        <v>10</v>
      </c>
      <c r="AM33" s="79">
        <v>19</v>
      </c>
      <c r="AN33" s="110">
        <v>20</v>
      </c>
      <c r="AO33" s="79">
        <v>10</v>
      </c>
      <c r="AP33" s="79">
        <v>13</v>
      </c>
      <c r="AQ33" s="110">
        <v>8</v>
      </c>
      <c r="AR33" s="77">
        <v>18</v>
      </c>
      <c r="AS33" s="76"/>
      <c r="AT33" s="77">
        <f>SUM(AL33:AS33)</f>
        <v>98</v>
      </c>
      <c r="AU33" s="18"/>
      <c r="AV33" s="78">
        <v>29</v>
      </c>
      <c r="AW33" s="110">
        <f>AT33+0</f>
        <v>98</v>
      </c>
      <c r="AX33" s="75"/>
      <c r="AY33" s="18"/>
      <c r="AZ33" s="110">
        <f>AI33</f>
        <v>80</v>
      </c>
      <c r="BA33" s="75"/>
      <c r="BB33" s="18"/>
      <c r="BC33" s="110">
        <f>Y33</f>
        <v>90</v>
      </c>
      <c r="BD33" s="75"/>
      <c r="BE33" s="18"/>
      <c r="BF33" s="76"/>
      <c r="BG33" s="75"/>
      <c r="BH33" s="18"/>
      <c r="BI33" s="78">
        <v>29</v>
      </c>
      <c r="BJ33" s="110">
        <f>AT33-1</f>
        <v>97</v>
      </c>
      <c r="BK33" s="75"/>
      <c r="BL33" s="18"/>
      <c r="BM33" s="110">
        <f>AI33-1</f>
        <v>79</v>
      </c>
      <c r="BN33" s="75"/>
      <c r="BO33" s="18"/>
      <c r="BP33" s="110">
        <f>BC33-1</f>
        <v>89</v>
      </c>
      <c r="BQ33" s="75"/>
      <c r="BR33" s="18"/>
      <c r="BS33" s="76"/>
      <c r="BT33" s="75"/>
      <c r="BU33" s="18"/>
      <c r="BV33" s="78">
        <v>29</v>
      </c>
      <c r="BW33" s="110">
        <f>AT33+2</f>
        <v>100</v>
      </c>
      <c r="BX33" s="75"/>
      <c r="BY33" s="18"/>
      <c r="BZ33" s="110">
        <f>AI33+2</f>
        <v>82</v>
      </c>
      <c r="CA33" s="75"/>
      <c r="CB33" s="18"/>
      <c r="CC33" s="110">
        <f>BC33+2</f>
        <v>92</v>
      </c>
      <c r="CD33" s="75"/>
      <c r="CE33" s="18"/>
      <c r="CF33" s="76"/>
      <c r="CG33" s="75"/>
      <c r="CH33" s="18"/>
      <c r="CI33" s="78">
        <v>29</v>
      </c>
      <c r="CJ33" s="110">
        <f>AT33+1</f>
        <v>99</v>
      </c>
      <c r="CK33" s="75"/>
      <c r="CL33" s="18"/>
      <c r="CM33" s="110">
        <f>AI33+1</f>
        <v>81</v>
      </c>
      <c r="CN33" s="75"/>
      <c r="CO33" s="18"/>
      <c r="CP33" s="110">
        <f>BC33+1</f>
        <v>91</v>
      </c>
      <c r="CQ33" s="75"/>
      <c r="CR33" s="18"/>
      <c r="CS33" s="76"/>
      <c r="CT33" s="75"/>
      <c r="CU33" s="18"/>
      <c r="CV33" s="78">
        <v>29</v>
      </c>
      <c r="CW33" s="79">
        <f>(AW33+AZ33+BC33+BF33)/4</f>
        <v>67</v>
      </c>
      <c r="CX33" s="79">
        <f>(BJ33+BM33+BP33+BS33)/4</f>
        <v>66.25</v>
      </c>
      <c r="CY33" s="79">
        <f>(BW33+BZ33+CC33+CF33)/4</f>
        <v>68.5</v>
      </c>
      <c r="CZ33" s="79">
        <f>(CJ33+CM33+CP33+CS33)/4</f>
        <v>67.75</v>
      </c>
      <c r="DA33" s="18"/>
      <c r="DB33" s="80">
        <f>SUM(CW33:CZ33)/4</f>
        <v>67.375</v>
      </c>
      <c r="DC33" s="18"/>
      <c r="DD33" s="79">
        <f>DB33*0.5</f>
        <v>33.6875</v>
      </c>
      <c r="DE33" s="75"/>
      <c r="DF33" s="79">
        <f>DE33*0.5</f>
        <v>0</v>
      </c>
      <c r="DG33" s="81">
        <f>DF33+DD33</f>
        <v>33.6875</v>
      </c>
      <c r="DH33" s="18"/>
      <c r="DI33" s="79">
        <f>DB33*0.3</f>
        <v>20.2125</v>
      </c>
      <c r="DJ33" s="75"/>
      <c r="DK33" s="79">
        <f>DJ33*0.7</f>
        <v>0</v>
      </c>
      <c r="DL33" s="81">
        <f>DK33+DI33</f>
        <v>20.2125</v>
      </c>
    </row>
    <row r="34" ht="24.75" customHeight="1">
      <c r="A34" s="105"/>
      <c r="B34" s="106">
        <v>30</v>
      </c>
      <c r="C34" t="s" s="70">
        <v>235</v>
      </c>
      <c r="D34" t="s" s="71">
        <v>236</v>
      </c>
      <c r="E34" t="s" s="72">
        <v>161</v>
      </c>
      <c r="F34" t="s" s="113">
        <v>162</v>
      </c>
      <c r="G34" s="74"/>
      <c r="H34" t="s" s="113">
        <v>43</v>
      </c>
      <c r="I34" t="s" s="72">
        <v>43</v>
      </c>
      <c r="J34" t="s" s="113">
        <v>43</v>
      </c>
      <c r="K34" t="s" s="83">
        <v>162</v>
      </c>
      <c r="L34" t="s" s="83">
        <v>43</v>
      </c>
      <c r="M34" t="s" s="83">
        <v>43</v>
      </c>
      <c r="N34" s="79">
        <v>10</v>
      </c>
      <c r="O34" s="79">
        <v>10</v>
      </c>
      <c r="P34" s="79">
        <v>9</v>
      </c>
      <c r="Q34" s="79">
        <v>8</v>
      </c>
      <c r="R34" s="75"/>
      <c r="S34" s="79">
        <v>10</v>
      </c>
      <c r="T34" s="79">
        <v>10</v>
      </c>
      <c r="U34" s="110">
        <v>9</v>
      </c>
      <c r="V34" s="79">
        <v>8</v>
      </c>
      <c r="W34" s="79">
        <v>13</v>
      </c>
      <c r="X34" s="79">
        <v>3</v>
      </c>
      <c r="Y34" s="108">
        <f>N34+O34+P34+Q34+S34+T34+U34+V34+W34+X34+R34</f>
        <v>90</v>
      </c>
      <c r="Z34" s="75"/>
      <c r="AA34" s="75"/>
      <c r="AB34" s="79">
        <v>10</v>
      </c>
      <c r="AC34" s="110">
        <v>10</v>
      </c>
      <c r="AD34" s="79">
        <v>10</v>
      </c>
      <c r="AE34" s="110">
        <v>17</v>
      </c>
      <c r="AF34" s="79">
        <v>10</v>
      </c>
      <c r="AG34" s="110">
        <v>0</v>
      </c>
      <c r="AH34" s="79">
        <v>23</v>
      </c>
      <c r="AI34" s="111">
        <f>AB34+AC34+AD34+AE34+AF34+AG34+AH34</f>
        <v>80</v>
      </c>
      <c r="AJ34" s="18"/>
      <c r="AK34" s="112">
        <v>30</v>
      </c>
      <c r="AL34" s="110">
        <v>10</v>
      </c>
      <c r="AM34" s="79">
        <v>18</v>
      </c>
      <c r="AN34" s="110">
        <v>20</v>
      </c>
      <c r="AO34" s="79">
        <v>10</v>
      </c>
      <c r="AP34" s="79">
        <v>0</v>
      </c>
      <c r="AQ34" s="110">
        <v>10</v>
      </c>
      <c r="AR34" s="77">
        <v>18</v>
      </c>
      <c r="AS34" s="76"/>
      <c r="AT34" s="77">
        <f>SUM(AL34:AS34)</f>
        <v>86</v>
      </c>
      <c r="AU34" s="18"/>
      <c r="AV34" s="78">
        <v>30</v>
      </c>
      <c r="AW34" s="110">
        <f>AT34+0</f>
        <v>86</v>
      </c>
      <c r="AX34" s="75"/>
      <c r="AY34" s="18"/>
      <c r="AZ34" s="110">
        <f>AI34</f>
        <v>80</v>
      </c>
      <c r="BA34" s="75"/>
      <c r="BB34" s="18"/>
      <c r="BC34" s="110">
        <f>Y34</f>
        <v>90</v>
      </c>
      <c r="BD34" s="75"/>
      <c r="BE34" s="18"/>
      <c r="BF34" s="76"/>
      <c r="BG34" s="75"/>
      <c r="BH34" s="18"/>
      <c r="BI34" s="78">
        <v>30</v>
      </c>
      <c r="BJ34" s="110">
        <f>AT34-1</f>
        <v>85</v>
      </c>
      <c r="BK34" s="75"/>
      <c r="BL34" s="18"/>
      <c r="BM34" s="110">
        <f>AI34-1</f>
        <v>79</v>
      </c>
      <c r="BN34" s="75"/>
      <c r="BO34" s="18"/>
      <c r="BP34" s="110">
        <f>BC34-1</f>
        <v>89</v>
      </c>
      <c r="BQ34" s="75"/>
      <c r="BR34" s="18"/>
      <c r="BS34" s="76"/>
      <c r="BT34" s="75"/>
      <c r="BU34" s="18"/>
      <c r="BV34" s="78">
        <v>30</v>
      </c>
      <c r="BW34" s="110">
        <f>AT34+2</f>
        <v>88</v>
      </c>
      <c r="BX34" s="75"/>
      <c r="BY34" s="18"/>
      <c r="BZ34" s="110">
        <f>AI34+2</f>
        <v>82</v>
      </c>
      <c r="CA34" s="75"/>
      <c r="CB34" s="18"/>
      <c r="CC34" s="110">
        <f>BC34+2</f>
        <v>92</v>
      </c>
      <c r="CD34" s="75"/>
      <c r="CE34" s="18"/>
      <c r="CF34" s="76"/>
      <c r="CG34" s="75"/>
      <c r="CH34" s="18"/>
      <c r="CI34" s="78">
        <v>30</v>
      </c>
      <c r="CJ34" s="110">
        <f>AT34+1</f>
        <v>87</v>
      </c>
      <c r="CK34" s="75"/>
      <c r="CL34" s="18"/>
      <c r="CM34" s="110">
        <f>AI34+1</f>
        <v>81</v>
      </c>
      <c r="CN34" s="75"/>
      <c r="CO34" s="18"/>
      <c r="CP34" s="110">
        <f>BC34+1</f>
        <v>91</v>
      </c>
      <c r="CQ34" s="75"/>
      <c r="CR34" s="18"/>
      <c r="CS34" s="76"/>
      <c r="CT34" s="75"/>
      <c r="CU34" s="18"/>
      <c r="CV34" s="78">
        <v>30</v>
      </c>
      <c r="CW34" s="79">
        <f>(AW34+AZ34+BC34+BF34)/4</f>
        <v>64</v>
      </c>
      <c r="CX34" s="79">
        <f>(BJ34+BM34+BP34+BS34)/4</f>
        <v>63.25</v>
      </c>
      <c r="CY34" s="79">
        <f>(BW34+BZ34+CC34+CF34)/4</f>
        <v>65.5</v>
      </c>
      <c r="CZ34" s="79">
        <f>(CJ34+CM34+CP34+CS34)/4</f>
        <v>64.75</v>
      </c>
      <c r="DA34" s="18"/>
      <c r="DB34" s="80">
        <f>SUM(CW34:CZ34)/4</f>
        <v>64.375</v>
      </c>
      <c r="DC34" s="18"/>
      <c r="DD34" s="79">
        <f>DB34*0.5</f>
        <v>32.1875</v>
      </c>
      <c r="DE34" s="75"/>
      <c r="DF34" s="79">
        <f>DE34*0.5</f>
        <v>0</v>
      </c>
      <c r="DG34" s="81">
        <f>DF34+DD34</f>
        <v>32.1875</v>
      </c>
      <c r="DH34" s="18"/>
      <c r="DI34" s="79">
        <f>DB34*0.3</f>
        <v>19.3125</v>
      </c>
      <c r="DJ34" s="75"/>
      <c r="DK34" s="79">
        <f>DJ34*0.7</f>
        <v>0</v>
      </c>
      <c r="DL34" s="81">
        <f>DK34+DI34</f>
        <v>19.3125</v>
      </c>
    </row>
    <row r="35" ht="24.75" customHeight="1">
      <c r="A35" s="105"/>
      <c r="B35" s="106">
        <v>31</v>
      </c>
      <c r="C35" t="s" s="70">
        <v>237</v>
      </c>
      <c r="D35" t="s" s="71">
        <v>238</v>
      </c>
      <c r="E35" t="s" s="72">
        <v>43</v>
      </c>
      <c r="F35" t="s" s="113">
        <v>43</v>
      </c>
      <c r="G35" s="74"/>
      <c r="H35" t="s" s="113">
        <v>43</v>
      </c>
      <c r="I35" t="s" s="72">
        <v>43</v>
      </c>
      <c r="J35" t="s" s="113">
        <v>43</v>
      </c>
      <c r="K35" t="s" s="83">
        <v>43</v>
      </c>
      <c r="L35" t="s" s="83">
        <v>43</v>
      </c>
      <c r="M35" t="s" s="83">
        <v>43</v>
      </c>
      <c r="N35" s="79">
        <v>10</v>
      </c>
      <c r="O35" s="79">
        <v>10</v>
      </c>
      <c r="P35" s="79">
        <v>7</v>
      </c>
      <c r="Q35" s="79">
        <v>8</v>
      </c>
      <c r="R35" s="75"/>
      <c r="S35" s="79">
        <v>9</v>
      </c>
      <c r="T35" s="79">
        <v>10</v>
      </c>
      <c r="U35" s="110">
        <v>10</v>
      </c>
      <c r="V35" s="79">
        <v>10</v>
      </c>
      <c r="W35" s="79">
        <v>13</v>
      </c>
      <c r="X35" s="79">
        <v>3</v>
      </c>
      <c r="Y35" s="108">
        <f>N35+O35+P35+Q35+S35+T35+U35+V35+W35+X35+R35</f>
        <v>90</v>
      </c>
      <c r="Z35" s="75"/>
      <c r="AA35" s="75"/>
      <c r="AB35" s="79">
        <v>10</v>
      </c>
      <c r="AC35" s="110">
        <v>10</v>
      </c>
      <c r="AD35" s="79">
        <v>10</v>
      </c>
      <c r="AE35" s="110">
        <v>15</v>
      </c>
      <c r="AF35" s="79">
        <v>13</v>
      </c>
      <c r="AG35" s="110">
        <v>3</v>
      </c>
      <c r="AH35" s="79">
        <v>23</v>
      </c>
      <c r="AI35" s="143">
        <f>AB35+AC35+AD35+AE35+AF35+AG35+AH35</f>
        <v>84</v>
      </c>
      <c r="AJ35" s="18"/>
      <c r="AK35" t="s" s="129">
        <v>239</v>
      </c>
      <c r="AL35" s="110">
        <v>10</v>
      </c>
      <c r="AM35" s="79">
        <v>20</v>
      </c>
      <c r="AN35" s="110">
        <v>20</v>
      </c>
      <c r="AO35" s="79">
        <v>10</v>
      </c>
      <c r="AP35" s="79">
        <v>12</v>
      </c>
      <c r="AQ35" s="110">
        <v>10</v>
      </c>
      <c r="AR35" s="77">
        <v>18</v>
      </c>
      <c r="AS35" s="76"/>
      <c r="AT35" s="77">
        <f>SUM(AL35:AS35)</f>
        <v>100</v>
      </c>
      <c r="AU35" s="18"/>
      <c r="AV35" s="78">
        <v>31</v>
      </c>
      <c r="AW35" s="110">
        <f>AT35+0</f>
        <v>100</v>
      </c>
      <c r="AX35" s="75"/>
      <c r="AY35" s="18"/>
      <c r="AZ35" s="110">
        <f>AI35</f>
        <v>84</v>
      </c>
      <c r="BA35" s="75"/>
      <c r="BB35" s="18"/>
      <c r="BC35" s="110">
        <f>Y35</f>
        <v>90</v>
      </c>
      <c r="BD35" s="75"/>
      <c r="BE35" s="18"/>
      <c r="BF35" s="76"/>
      <c r="BG35" s="75"/>
      <c r="BH35" s="18"/>
      <c r="BI35" s="78">
        <v>31</v>
      </c>
      <c r="BJ35" s="110">
        <f>AT35-1</f>
        <v>99</v>
      </c>
      <c r="BK35" s="75"/>
      <c r="BL35" s="18"/>
      <c r="BM35" s="110">
        <f>AI35-1</f>
        <v>83</v>
      </c>
      <c r="BN35" s="75"/>
      <c r="BO35" s="18"/>
      <c r="BP35" s="110">
        <f>BC35-1</f>
        <v>89</v>
      </c>
      <c r="BQ35" s="75"/>
      <c r="BR35" s="18"/>
      <c r="BS35" s="76"/>
      <c r="BT35" s="75"/>
      <c r="BU35" s="18"/>
      <c r="BV35" s="78">
        <v>31</v>
      </c>
      <c r="BW35" s="110">
        <v>100</v>
      </c>
      <c r="BX35" s="75"/>
      <c r="BY35" s="18"/>
      <c r="BZ35" s="110">
        <f>AI35+2</f>
        <v>86</v>
      </c>
      <c r="CA35" s="75"/>
      <c r="CB35" s="18"/>
      <c r="CC35" s="110">
        <f>BC35+2</f>
        <v>92</v>
      </c>
      <c r="CD35" s="75"/>
      <c r="CE35" s="18"/>
      <c r="CF35" s="76"/>
      <c r="CG35" s="75"/>
      <c r="CH35" s="18"/>
      <c r="CI35" s="78">
        <v>31</v>
      </c>
      <c r="CJ35" s="110">
        <v>100</v>
      </c>
      <c r="CK35" s="75"/>
      <c r="CL35" s="18"/>
      <c r="CM35" s="110">
        <f>AI35+1</f>
        <v>85</v>
      </c>
      <c r="CN35" s="75"/>
      <c r="CO35" s="18"/>
      <c r="CP35" s="110">
        <f>BC35+1</f>
        <v>91</v>
      </c>
      <c r="CQ35" s="75"/>
      <c r="CR35" s="18"/>
      <c r="CS35" s="76"/>
      <c r="CT35" s="75"/>
      <c r="CU35" s="18"/>
      <c r="CV35" s="78">
        <v>31</v>
      </c>
      <c r="CW35" s="79">
        <f>(AW35+AZ35+BC35+BF35)/4</f>
        <v>68.5</v>
      </c>
      <c r="CX35" s="79">
        <f>(BJ35+BM35+BP35+BS35)/4</f>
        <v>67.75</v>
      </c>
      <c r="CY35" s="79">
        <f>(BW35+BZ35+CC35+CF35)/4</f>
        <v>69.5</v>
      </c>
      <c r="CZ35" s="79">
        <f>(CJ35+CM35+CP35+CS35)/4</f>
        <v>69</v>
      </c>
      <c r="DA35" s="18"/>
      <c r="DB35" s="80">
        <f>SUM(CW35:CZ35)/4</f>
        <v>68.6875</v>
      </c>
      <c r="DC35" s="18"/>
      <c r="DD35" s="79">
        <f>DB35*0.5</f>
        <v>34.34375</v>
      </c>
      <c r="DE35" s="75"/>
      <c r="DF35" s="79">
        <f>DE35*0.5</f>
        <v>0</v>
      </c>
      <c r="DG35" s="81">
        <f>DF35+DD35</f>
        <v>34.34375</v>
      </c>
      <c r="DH35" s="18"/>
      <c r="DI35" s="79">
        <f>DB35*0.3</f>
        <v>20.60625</v>
      </c>
      <c r="DJ35" s="75"/>
      <c r="DK35" s="79">
        <f>DJ35*0.7</f>
        <v>0</v>
      </c>
      <c r="DL35" s="81">
        <f>DK35+DI35</f>
        <v>20.60625</v>
      </c>
    </row>
    <row r="36" ht="24.75" customHeight="1">
      <c r="A36" s="105"/>
      <c r="B36" s="106">
        <v>32</v>
      </c>
      <c r="C36" t="s" s="70">
        <v>240</v>
      </c>
      <c r="D36" t="s" s="71">
        <v>241</v>
      </c>
      <c r="E36" t="s" s="72">
        <v>43</v>
      </c>
      <c r="F36" t="s" s="113">
        <v>43</v>
      </c>
      <c r="G36" s="74"/>
      <c r="H36" t="s" s="113">
        <v>43</v>
      </c>
      <c r="I36" t="s" s="72">
        <v>43</v>
      </c>
      <c r="J36" t="s" s="113">
        <v>43</v>
      </c>
      <c r="K36" t="s" s="83">
        <v>162</v>
      </c>
      <c r="L36" t="s" s="83">
        <v>43</v>
      </c>
      <c r="M36" t="s" s="83">
        <v>43</v>
      </c>
      <c r="N36" s="79">
        <v>10</v>
      </c>
      <c r="O36" s="79">
        <v>10</v>
      </c>
      <c r="P36" s="79">
        <v>0</v>
      </c>
      <c r="Q36" s="75"/>
      <c r="R36" s="75"/>
      <c r="S36" s="79">
        <v>8</v>
      </c>
      <c r="T36" s="79">
        <v>8</v>
      </c>
      <c r="U36" s="110">
        <v>10</v>
      </c>
      <c r="V36" s="79">
        <v>10</v>
      </c>
      <c r="W36" s="79">
        <v>9</v>
      </c>
      <c r="X36" s="79">
        <v>3</v>
      </c>
      <c r="Y36" s="108">
        <f>N36+O36+P36+Q36+S36+T36+U36+V36+W36+X36+R36</f>
        <v>68</v>
      </c>
      <c r="Z36" s="75"/>
      <c r="AA36" s="75"/>
      <c r="AB36" s="79">
        <v>10</v>
      </c>
      <c r="AC36" s="110">
        <v>9</v>
      </c>
      <c r="AD36" s="79">
        <v>8</v>
      </c>
      <c r="AE36" s="110">
        <v>17</v>
      </c>
      <c r="AF36" s="79">
        <v>5</v>
      </c>
      <c r="AG36" s="110">
        <v>0</v>
      </c>
      <c r="AH36" s="79">
        <v>23</v>
      </c>
      <c r="AI36" s="111">
        <f>AB36+AC36+AD36+AE36+AF36+AG36+AH36</f>
        <v>72</v>
      </c>
      <c r="AJ36" s="18"/>
      <c r="AK36" s="112">
        <v>32</v>
      </c>
      <c r="AL36" s="110">
        <v>10</v>
      </c>
      <c r="AM36" s="79">
        <v>14</v>
      </c>
      <c r="AN36" s="110">
        <v>20</v>
      </c>
      <c r="AO36" s="79">
        <v>10</v>
      </c>
      <c r="AP36" s="79">
        <v>8</v>
      </c>
      <c r="AQ36" s="110">
        <v>7</v>
      </c>
      <c r="AR36" s="77">
        <v>18</v>
      </c>
      <c r="AS36" s="76"/>
      <c r="AT36" s="77">
        <f>SUM(AL36:AS36)</f>
        <v>87</v>
      </c>
      <c r="AU36" s="18"/>
      <c r="AV36" s="78">
        <v>32</v>
      </c>
      <c r="AW36" s="110">
        <f>AT36+0</f>
        <v>87</v>
      </c>
      <c r="AX36" s="75"/>
      <c r="AY36" s="18"/>
      <c r="AZ36" s="110">
        <f>AI36</f>
        <v>72</v>
      </c>
      <c r="BA36" s="75"/>
      <c r="BB36" s="18"/>
      <c r="BC36" s="110">
        <f>Y36</f>
        <v>68</v>
      </c>
      <c r="BD36" s="75"/>
      <c r="BE36" s="18"/>
      <c r="BF36" s="76"/>
      <c r="BG36" s="75"/>
      <c r="BH36" s="18"/>
      <c r="BI36" s="78">
        <v>32</v>
      </c>
      <c r="BJ36" s="110">
        <f>AT36-1</f>
        <v>86</v>
      </c>
      <c r="BK36" s="75"/>
      <c r="BL36" s="18"/>
      <c r="BM36" s="110">
        <f>AI36-1</f>
        <v>71</v>
      </c>
      <c r="BN36" s="75"/>
      <c r="BO36" s="18"/>
      <c r="BP36" s="110">
        <f>BC36-1</f>
        <v>67</v>
      </c>
      <c r="BQ36" s="75"/>
      <c r="BR36" s="18"/>
      <c r="BS36" s="76"/>
      <c r="BT36" s="75"/>
      <c r="BU36" s="18"/>
      <c r="BV36" s="78">
        <v>32</v>
      </c>
      <c r="BW36" s="110">
        <f>AT36+2</f>
        <v>89</v>
      </c>
      <c r="BX36" s="75"/>
      <c r="BY36" s="18"/>
      <c r="BZ36" s="110">
        <f>AI36+2</f>
        <v>74</v>
      </c>
      <c r="CA36" s="75"/>
      <c r="CB36" s="18"/>
      <c r="CC36" s="110">
        <f>BC36+2</f>
        <v>70</v>
      </c>
      <c r="CD36" s="75"/>
      <c r="CE36" s="18"/>
      <c r="CF36" s="76"/>
      <c r="CG36" s="75"/>
      <c r="CH36" s="18"/>
      <c r="CI36" s="78">
        <v>32</v>
      </c>
      <c r="CJ36" s="110">
        <f>AT36+1</f>
        <v>88</v>
      </c>
      <c r="CK36" s="75"/>
      <c r="CL36" s="18"/>
      <c r="CM36" s="110">
        <f>AI36+1</f>
        <v>73</v>
      </c>
      <c r="CN36" s="75"/>
      <c r="CO36" s="18"/>
      <c r="CP36" s="110">
        <f>BC36+1</f>
        <v>69</v>
      </c>
      <c r="CQ36" s="75"/>
      <c r="CR36" s="18"/>
      <c r="CS36" s="76"/>
      <c r="CT36" s="75"/>
      <c r="CU36" s="18"/>
      <c r="CV36" s="78">
        <v>32</v>
      </c>
      <c r="CW36" s="79">
        <f>(AW36+AZ36+BC36+BF36)/4</f>
        <v>56.75</v>
      </c>
      <c r="CX36" s="79">
        <f>(BJ36+BM36+BP36+BS36)/4</f>
        <v>56</v>
      </c>
      <c r="CY36" s="79">
        <f>(BW36+BZ36+CC36+CF36)/4</f>
        <v>58.25</v>
      </c>
      <c r="CZ36" s="79">
        <f>(CJ36+CM36+CP36+CS36)/4</f>
        <v>57.5</v>
      </c>
      <c r="DA36" s="18"/>
      <c r="DB36" s="80">
        <f>SUM(CW36:CZ36)/4</f>
        <v>57.125</v>
      </c>
      <c r="DC36" s="18"/>
      <c r="DD36" s="79">
        <f>DB36*0.5</f>
        <v>28.5625</v>
      </c>
      <c r="DE36" s="75"/>
      <c r="DF36" s="79">
        <f>DE36*0.5</f>
        <v>0</v>
      </c>
      <c r="DG36" s="81">
        <f>DF36+DD36</f>
        <v>28.5625</v>
      </c>
      <c r="DH36" s="18"/>
      <c r="DI36" s="79">
        <f>DB36*0.3</f>
        <v>17.1375</v>
      </c>
      <c r="DJ36" s="75"/>
      <c r="DK36" s="79">
        <f>DJ36*0.7</f>
        <v>0</v>
      </c>
      <c r="DL36" s="81">
        <f>DK36+DI36</f>
        <v>17.1375</v>
      </c>
    </row>
    <row r="37" ht="24.75" customHeight="1">
      <c r="A37" s="105"/>
      <c r="B37" s="106">
        <v>33</v>
      </c>
      <c r="C37" t="s" s="70">
        <v>242</v>
      </c>
      <c r="D37" t="s" s="71">
        <v>243</v>
      </c>
      <c r="E37" t="s" s="72">
        <v>43</v>
      </c>
      <c r="F37" t="s" s="113">
        <v>43</v>
      </c>
      <c r="G37" s="74"/>
      <c r="H37" t="s" s="113">
        <v>43</v>
      </c>
      <c r="I37" t="s" s="72">
        <v>43</v>
      </c>
      <c r="J37" t="s" s="113">
        <v>43</v>
      </c>
      <c r="K37" t="s" s="83">
        <v>43</v>
      </c>
      <c r="L37" t="s" s="83">
        <v>43</v>
      </c>
      <c r="M37" t="s" s="83">
        <v>244</v>
      </c>
      <c r="N37" s="132">
        <v>10</v>
      </c>
      <c r="O37" s="133">
        <v>8</v>
      </c>
      <c r="P37" s="133">
        <v>10</v>
      </c>
      <c r="Q37" s="133">
        <v>7</v>
      </c>
      <c r="R37" s="135"/>
      <c r="S37" s="133">
        <v>9</v>
      </c>
      <c r="T37" s="134">
        <v>10</v>
      </c>
      <c r="U37" s="110">
        <v>9</v>
      </c>
      <c r="V37" s="79">
        <v>8</v>
      </c>
      <c r="W37" s="79">
        <v>13</v>
      </c>
      <c r="X37" s="79">
        <v>3</v>
      </c>
      <c r="Y37" s="108">
        <f>N37+O37+P37+Q37+S37+T37+U37+V37+W37+X37+R37</f>
        <v>87</v>
      </c>
      <c r="Z37" s="75"/>
      <c r="AA37" s="75"/>
      <c r="AB37" s="79">
        <v>10</v>
      </c>
      <c r="AC37" s="110">
        <v>8</v>
      </c>
      <c r="AD37" s="79">
        <v>7</v>
      </c>
      <c r="AE37" s="110">
        <v>17</v>
      </c>
      <c r="AF37" s="79">
        <v>0</v>
      </c>
      <c r="AG37" s="110">
        <v>0</v>
      </c>
      <c r="AH37" s="79">
        <v>23</v>
      </c>
      <c r="AI37" s="111">
        <f>AB37+AC37+AD37+AE37+AF37+AG37+AH37</f>
        <v>65</v>
      </c>
      <c r="AJ37" s="18"/>
      <c r="AK37" s="112">
        <v>33</v>
      </c>
      <c r="AL37" s="110">
        <v>10</v>
      </c>
      <c r="AM37" s="75"/>
      <c r="AN37" s="110">
        <v>20</v>
      </c>
      <c r="AO37" s="79">
        <v>10</v>
      </c>
      <c r="AP37" s="75"/>
      <c r="AQ37" s="110">
        <v>5</v>
      </c>
      <c r="AR37" s="77">
        <v>18</v>
      </c>
      <c r="AS37" s="76"/>
      <c r="AT37" s="77">
        <f>SUM(AL37:AS37)</f>
        <v>63</v>
      </c>
      <c r="AU37" s="112">
        <v>75</v>
      </c>
      <c r="AV37" s="78">
        <v>33</v>
      </c>
      <c r="AW37" s="110">
        <f>AT37+0</f>
        <v>63</v>
      </c>
      <c r="AX37" s="79">
        <v>75</v>
      </c>
      <c r="AY37" s="18"/>
      <c r="AZ37" s="110">
        <f>AI37</f>
        <v>65</v>
      </c>
      <c r="BA37" s="79">
        <v>75</v>
      </c>
      <c r="BB37" s="18"/>
      <c r="BC37" s="110">
        <f>Y37</f>
        <v>87</v>
      </c>
      <c r="BD37" s="75"/>
      <c r="BE37" s="18"/>
      <c r="BF37" s="76"/>
      <c r="BG37" s="75"/>
      <c r="BH37" s="18"/>
      <c r="BI37" s="78">
        <v>33</v>
      </c>
      <c r="BJ37" s="110">
        <f>AT37-1</f>
        <v>62</v>
      </c>
      <c r="BK37" s="79">
        <v>75</v>
      </c>
      <c r="BL37" s="18"/>
      <c r="BM37" s="110">
        <f>AI37-1</f>
        <v>64</v>
      </c>
      <c r="BN37" s="79">
        <v>75</v>
      </c>
      <c r="BO37" s="18"/>
      <c r="BP37" s="110">
        <f>BC37-1</f>
        <v>86</v>
      </c>
      <c r="BQ37" s="75"/>
      <c r="BR37" s="18"/>
      <c r="BS37" s="76"/>
      <c r="BT37" s="75"/>
      <c r="BU37" s="18"/>
      <c r="BV37" s="78">
        <v>33</v>
      </c>
      <c r="BW37" s="110">
        <f>AT37+2</f>
        <v>65</v>
      </c>
      <c r="BX37" s="79">
        <v>75</v>
      </c>
      <c r="BY37" s="18"/>
      <c r="BZ37" s="110">
        <f>AI37+2</f>
        <v>67</v>
      </c>
      <c r="CA37" s="79">
        <v>75</v>
      </c>
      <c r="CB37" s="18"/>
      <c r="CC37" s="110">
        <f>BC37+2</f>
        <v>89</v>
      </c>
      <c r="CD37" s="75"/>
      <c r="CE37" s="18"/>
      <c r="CF37" s="76"/>
      <c r="CG37" s="75"/>
      <c r="CH37" s="18"/>
      <c r="CI37" s="78">
        <v>33</v>
      </c>
      <c r="CJ37" s="110">
        <f>AT37+1</f>
        <v>64</v>
      </c>
      <c r="CK37" s="79">
        <v>75</v>
      </c>
      <c r="CL37" s="18"/>
      <c r="CM37" s="110">
        <f>AI37+1</f>
        <v>66</v>
      </c>
      <c r="CN37" s="79">
        <v>75</v>
      </c>
      <c r="CO37" s="18"/>
      <c r="CP37" s="110">
        <f>BC37+1</f>
        <v>88</v>
      </c>
      <c r="CQ37" s="75"/>
      <c r="CR37" s="18"/>
      <c r="CS37" s="76"/>
      <c r="CT37" s="75"/>
      <c r="CU37" s="18"/>
      <c r="CV37" s="78">
        <v>33</v>
      </c>
      <c r="CW37" s="79">
        <f>(AW37+AZ37+BC37+BF37)/4</f>
        <v>53.75</v>
      </c>
      <c r="CX37" s="79">
        <f>(BJ37+BM37+BP37+BS37)/4</f>
        <v>53</v>
      </c>
      <c r="CY37" s="79">
        <f>(BW37+BZ37+CC37+CF37)/4</f>
        <v>55.25</v>
      </c>
      <c r="CZ37" s="79">
        <f>(CJ37+CM37+CP37+CS37)/4</f>
        <v>54.5</v>
      </c>
      <c r="DA37" s="18"/>
      <c r="DB37" s="80">
        <f>SUM(CW37:CZ37)/4</f>
        <v>54.125</v>
      </c>
      <c r="DC37" s="18"/>
      <c r="DD37" s="79">
        <f>DB37*0.5</f>
        <v>27.0625</v>
      </c>
      <c r="DE37" s="75"/>
      <c r="DF37" s="79">
        <f>DE37*0.5</f>
        <v>0</v>
      </c>
      <c r="DG37" s="81">
        <f>DF37+DD37</f>
        <v>27.0625</v>
      </c>
      <c r="DH37" s="18"/>
      <c r="DI37" s="79">
        <f>DB37*0.3</f>
        <v>16.2375</v>
      </c>
      <c r="DJ37" s="75"/>
      <c r="DK37" s="79">
        <f>DJ37*0.7</f>
        <v>0</v>
      </c>
      <c r="DL37" s="81">
        <f>DK37+DI37</f>
        <v>16.2375</v>
      </c>
    </row>
    <row r="38" ht="24.75" customHeight="1">
      <c r="A38" s="105"/>
      <c r="B38" s="106">
        <v>34</v>
      </c>
      <c r="C38" t="s" s="70">
        <v>245</v>
      </c>
      <c r="D38" t="s" s="71">
        <v>246</v>
      </c>
      <c r="E38" t="s" s="72">
        <v>43</v>
      </c>
      <c r="F38" t="s" s="113">
        <v>43</v>
      </c>
      <c r="G38" s="74"/>
      <c r="H38" t="s" s="113">
        <v>43</v>
      </c>
      <c r="I38" t="s" s="72">
        <v>43</v>
      </c>
      <c r="J38" t="s" s="113">
        <v>43</v>
      </c>
      <c r="K38" t="s" s="83">
        <v>162</v>
      </c>
      <c r="L38" t="s" s="83">
        <v>43</v>
      </c>
      <c r="M38" t="s" s="83">
        <v>43</v>
      </c>
      <c r="N38" s="79">
        <v>10</v>
      </c>
      <c r="O38" s="79">
        <v>0</v>
      </c>
      <c r="P38" s="79">
        <v>8</v>
      </c>
      <c r="Q38" s="79">
        <v>9</v>
      </c>
      <c r="R38" s="75"/>
      <c r="S38" s="79">
        <v>8</v>
      </c>
      <c r="T38" s="79">
        <v>10</v>
      </c>
      <c r="U38" s="110">
        <v>8</v>
      </c>
      <c r="V38" s="79">
        <v>7</v>
      </c>
      <c r="W38" s="79">
        <v>13</v>
      </c>
      <c r="X38" s="79">
        <v>7</v>
      </c>
      <c r="Y38" s="108">
        <f>N38+O38+P38+Q38+S38+T38+U38+V38+W38+X38+R38</f>
        <v>80</v>
      </c>
      <c r="Z38" s="79">
        <v>1</v>
      </c>
      <c r="AA38" s="75"/>
      <c r="AB38" s="79">
        <v>10</v>
      </c>
      <c r="AC38" s="110">
        <v>9</v>
      </c>
      <c r="AD38" s="79">
        <v>10</v>
      </c>
      <c r="AE38" s="110">
        <v>17</v>
      </c>
      <c r="AF38" s="79">
        <v>19</v>
      </c>
      <c r="AG38" s="110">
        <v>7</v>
      </c>
      <c r="AH38" s="79">
        <v>23</v>
      </c>
      <c r="AI38" s="111">
        <f>AB38+AC38+AD38+AE38+AF38+AG38+AH38</f>
        <v>95</v>
      </c>
      <c r="AJ38" s="18"/>
      <c r="AK38" s="112">
        <v>34</v>
      </c>
      <c r="AL38" s="110">
        <v>10</v>
      </c>
      <c r="AM38" s="79">
        <v>20</v>
      </c>
      <c r="AN38" s="110">
        <v>20</v>
      </c>
      <c r="AO38" s="79">
        <v>10</v>
      </c>
      <c r="AP38" s="79">
        <v>14</v>
      </c>
      <c r="AQ38" s="110">
        <v>10</v>
      </c>
      <c r="AR38" s="77">
        <v>18</v>
      </c>
      <c r="AS38" s="76"/>
      <c r="AT38" s="77">
        <f>SUM(AL38:AS38)</f>
        <v>102</v>
      </c>
      <c r="AU38" s="18"/>
      <c r="AV38" s="78">
        <v>34</v>
      </c>
      <c r="AW38" s="110">
        <v>100</v>
      </c>
      <c r="AX38" s="75"/>
      <c r="AY38" s="18"/>
      <c r="AZ38" s="110">
        <f>AI38</f>
        <v>95</v>
      </c>
      <c r="BA38" s="75"/>
      <c r="BB38" s="18"/>
      <c r="BC38" s="110">
        <f>Y38</f>
        <v>80</v>
      </c>
      <c r="BD38" s="75"/>
      <c r="BE38" s="18"/>
      <c r="BF38" s="76"/>
      <c r="BG38" s="75"/>
      <c r="BH38" s="18"/>
      <c r="BI38" s="78">
        <v>34</v>
      </c>
      <c r="BJ38" s="110">
        <v>100</v>
      </c>
      <c r="BK38" s="75"/>
      <c r="BL38" s="18"/>
      <c r="BM38" s="110">
        <f>AI38-1</f>
        <v>94</v>
      </c>
      <c r="BN38" s="75"/>
      <c r="BO38" s="18"/>
      <c r="BP38" s="110">
        <f>BC38-1</f>
        <v>79</v>
      </c>
      <c r="BQ38" s="75"/>
      <c r="BR38" s="18"/>
      <c r="BS38" s="76"/>
      <c r="BT38" s="75"/>
      <c r="BU38" s="18"/>
      <c r="BV38" s="78">
        <v>34</v>
      </c>
      <c r="BW38" s="110">
        <v>100</v>
      </c>
      <c r="BX38" s="75"/>
      <c r="BY38" s="18"/>
      <c r="BZ38" s="110">
        <f>AI38+2</f>
        <v>97</v>
      </c>
      <c r="CA38" s="75"/>
      <c r="CB38" s="18"/>
      <c r="CC38" s="110">
        <f>BC38+2</f>
        <v>82</v>
      </c>
      <c r="CD38" s="75"/>
      <c r="CE38" s="18"/>
      <c r="CF38" s="76"/>
      <c r="CG38" s="75"/>
      <c r="CH38" s="18"/>
      <c r="CI38" s="78">
        <v>34</v>
      </c>
      <c r="CJ38" s="110">
        <v>100</v>
      </c>
      <c r="CK38" s="75"/>
      <c r="CL38" s="18"/>
      <c r="CM38" s="110">
        <f>AI38+1</f>
        <v>96</v>
      </c>
      <c r="CN38" s="75"/>
      <c r="CO38" s="18"/>
      <c r="CP38" s="110">
        <f>BC38+1</f>
        <v>81</v>
      </c>
      <c r="CQ38" s="75"/>
      <c r="CR38" s="18"/>
      <c r="CS38" s="76"/>
      <c r="CT38" s="75"/>
      <c r="CU38" s="18"/>
      <c r="CV38" s="78">
        <v>34</v>
      </c>
      <c r="CW38" s="79">
        <f>(AW38+AZ38+BC38+BF38)/4</f>
        <v>68.75</v>
      </c>
      <c r="CX38" s="79">
        <f>(BJ38+BM38+BP38+BS38)/4</f>
        <v>68.25</v>
      </c>
      <c r="CY38" s="79">
        <f>(BW38+BZ38+CC38+CF38)/4</f>
        <v>69.75</v>
      </c>
      <c r="CZ38" s="79">
        <f>(CJ38+CM38+CP38+CS38)/4</f>
        <v>69.25</v>
      </c>
      <c r="DA38" s="18"/>
      <c r="DB38" s="80">
        <f>SUM(CW38:CZ38)/4</f>
        <v>69</v>
      </c>
      <c r="DC38" s="18"/>
      <c r="DD38" s="79">
        <f>DB38*0.5</f>
        <v>34.5</v>
      </c>
      <c r="DE38" s="75"/>
      <c r="DF38" s="79">
        <f>DE38*0.5</f>
        <v>0</v>
      </c>
      <c r="DG38" s="81">
        <f>DF38+DD38</f>
        <v>34.5</v>
      </c>
      <c r="DH38" s="18"/>
      <c r="DI38" s="79">
        <f>DB38*0.3</f>
        <v>20.7</v>
      </c>
      <c r="DJ38" s="75"/>
      <c r="DK38" s="79">
        <f>DJ38*0.7</f>
        <v>0</v>
      </c>
      <c r="DL38" s="81">
        <f>DK38+DI38</f>
        <v>20.7</v>
      </c>
    </row>
    <row r="39" ht="24.75" customHeight="1">
      <c r="A39" s="105"/>
      <c r="B39" s="106">
        <v>35</v>
      </c>
      <c r="C39" t="s" s="70">
        <v>247</v>
      </c>
      <c r="D39" t="s" s="71">
        <v>248</v>
      </c>
      <c r="E39" t="s" s="72">
        <v>43</v>
      </c>
      <c r="F39" t="s" s="113">
        <v>162</v>
      </c>
      <c r="G39" s="74"/>
      <c r="H39" t="s" s="113">
        <v>43</v>
      </c>
      <c r="I39" t="s" s="72">
        <v>43</v>
      </c>
      <c r="J39" t="s" s="113">
        <v>43</v>
      </c>
      <c r="K39" t="s" s="83">
        <v>43</v>
      </c>
      <c r="L39" t="s" s="83">
        <v>43</v>
      </c>
      <c r="M39" t="s" s="127">
        <v>43</v>
      </c>
      <c r="N39" s="79">
        <v>10</v>
      </c>
      <c r="O39" s="79">
        <v>0</v>
      </c>
      <c r="P39" s="79">
        <v>10</v>
      </c>
      <c r="Q39" s="79">
        <v>9</v>
      </c>
      <c r="R39" s="79">
        <v>0</v>
      </c>
      <c r="S39" s="79">
        <v>9</v>
      </c>
      <c r="T39" s="79">
        <v>10</v>
      </c>
      <c r="U39" s="110">
        <v>9</v>
      </c>
      <c r="V39" s="79">
        <v>10</v>
      </c>
      <c r="W39" s="79">
        <v>13</v>
      </c>
      <c r="X39" s="79">
        <v>3</v>
      </c>
      <c r="Y39" s="108">
        <f>N39+O39+P39+Q39+S39+T39+U39+V39+W39+X39+R39</f>
        <v>83</v>
      </c>
      <c r="Z39" s="75"/>
      <c r="AA39" s="75"/>
      <c r="AB39" s="79">
        <v>10</v>
      </c>
      <c r="AC39" s="110">
        <v>9</v>
      </c>
      <c r="AD39" s="79">
        <v>10</v>
      </c>
      <c r="AE39" s="110">
        <v>17</v>
      </c>
      <c r="AF39" s="79">
        <v>18</v>
      </c>
      <c r="AG39" s="110">
        <v>4</v>
      </c>
      <c r="AH39" s="79">
        <v>23</v>
      </c>
      <c r="AI39" s="111">
        <f>AB39+AC39+AD39+AE39+AF39+AG39+AH39</f>
        <v>91</v>
      </c>
      <c r="AJ39" s="18"/>
      <c r="AK39" s="112">
        <v>35</v>
      </c>
      <c r="AL39" s="110">
        <v>10</v>
      </c>
      <c r="AM39" s="110">
        <v>20</v>
      </c>
      <c r="AN39" s="110">
        <v>20</v>
      </c>
      <c r="AO39" s="79">
        <v>10</v>
      </c>
      <c r="AP39" s="79">
        <v>15</v>
      </c>
      <c r="AQ39" s="110">
        <v>10</v>
      </c>
      <c r="AR39" s="77">
        <v>18</v>
      </c>
      <c r="AS39" s="76"/>
      <c r="AT39" s="77">
        <f>SUM(AL39:AS39)</f>
        <v>103</v>
      </c>
      <c r="AU39" s="18"/>
      <c r="AV39" s="78">
        <v>35</v>
      </c>
      <c r="AW39" s="110">
        <v>100</v>
      </c>
      <c r="AX39" s="75"/>
      <c r="AY39" s="18"/>
      <c r="AZ39" s="110">
        <f>AI39</f>
        <v>91</v>
      </c>
      <c r="BA39" s="75"/>
      <c r="BB39" s="18"/>
      <c r="BC39" s="110">
        <f>Y39</f>
        <v>83</v>
      </c>
      <c r="BD39" s="75"/>
      <c r="BE39" s="18"/>
      <c r="BF39" s="76"/>
      <c r="BG39" s="75"/>
      <c r="BH39" s="18"/>
      <c r="BI39" s="78">
        <v>35</v>
      </c>
      <c r="BJ39" s="110">
        <v>100</v>
      </c>
      <c r="BK39" s="75"/>
      <c r="BL39" s="18"/>
      <c r="BM39" s="110">
        <f>AI39-1</f>
        <v>90</v>
      </c>
      <c r="BN39" s="75"/>
      <c r="BO39" s="18"/>
      <c r="BP39" s="110">
        <f>BC39-1</f>
        <v>82</v>
      </c>
      <c r="BQ39" s="75"/>
      <c r="BR39" s="18"/>
      <c r="BS39" s="76"/>
      <c r="BT39" s="75"/>
      <c r="BU39" s="18"/>
      <c r="BV39" s="78">
        <v>35</v>
      </c>
      <c r="BW39" s="110">
        <v>100</v>
      </c>
      <c r="BX39" s="75"/>
      <c r="BY39" s="18"/>
      <c r="BZ39" s="110">
        <f>AI39+2</f>
        <v>93</v>
      </c>
      <c r="CA39" s="75"/>
      <c r="CB39" s="18"/>
      <c r="CC39" s="110">
        <f>BC39+2</f>
        <v>85</v>
      </c>
      <c r="CD39" s="75"/>
      <c r="CE39" s="18"/>
      <c r="CF39" s="76"/>
      <c r="CG39" s="75"/>
      <c r="CH39" s="18"/>
      <c r="CI39" s="78">
        <v>35</v>
      </c>
      <c r="CJ39" s="110">
        <v>100</v>
      </c>
      <c r="CK39" s="75"/>
      <c r="CL39" s="18"/>
      <c r="CM39" s="110">
        <f>AI39+1</f>
        <v>92</v>
      </c>
      <c r="CN39" s="75"/>
      <c r="CO39" s="18"/>
      <c r="CP39" s="110">
        <f>BC39+1</f>
        <v>84</v>
      </c>
      <c r="CQ39" s="75"/>
      <c r="CR39" s="18"/>
      <c r="CS39" s="76"/>
      <c r="CT39" s="75"/>
      <c r="CU39" s="18"/>
      <c r="CV39" s="78">
        <v>35</v>
      </c>
      <c r="CW39" s="79">
        <f>(AW39+AZ39+BC39+BF39)/4</f>
        <v>68.5</v>
      </c>
      <c r="CX39" s="79">
        <f>(BJ39+BM39+BP39+BS39)/4</f>
        <v>68</v>
      </c>
      <c r="CY39" s="79">
        <f>(BW39+BZ39+CC39+CF39)/4</f>
        <v>69.5</v>
      </c>
      <c r="CZ39" s="79">
        <f>(CJ39+CM39+CP39+CS39)/4</f>
        <v>69</v>
      </c>
      <c r="DA39" s="18"/>
      <c r="DB39" s="80">
        <f>SUM(CW39:CZ39)/4</f>
        <v>68.75</v>
      </c>
      <c r="DC39" s="18"/>
      <c r="DD39" s="79">
        <f>DB39*0.5</f>
        <v>34.375</v>
      </c>
      <c r="DE39" s="75"/>
      <c r="DF39" s="79">
        <f>DE39*0.5</f>
        <v>0</v>
      </c>
      <c r="DG39" s="81">
        <f>DF39+DD39</f>
        <v>34.375</v>
      </c>
      <c r="DH39" s="18"/>
      <c r="DI39" s="79">
        <f>DB39*0.3</f>
        <v>20.625</v>
      </c>
      <c r="DJ39" s="75"/>
      <c r="DK39" s="79">
        <f>DJ39*0.7</f>
        <v>0</v>
      </c>
      <c r="DL39" s="81">
        <f>DK39+DI39</f>
        <v>20.625</v>
      </c>
    </row>
    <row r="40" ht="24.75" customHeight="1">
      <c r="A40" s="105"/>
      <c r="B40" s="106">
        <v>36</v>
      </c>
      <c r="C40" t="s" s="70">
        <v>249</v>
      </c>
      <c r="D40" t="s" s="71">
        <v>250</v>
      </c>
      <c r="E40" t="s" s="72">
        <v>43</v>
      </c>
      <c r="F40" t="s" s="113">
        <v>43</v>
      </c>
      <c r="G40" s="74"/>
      <c r="H40" t="s" s="113">
        <v>163</v>
      </c>
      <c r="I40" t="s" s="72">
        <v>43</v>
      </c>
      <c r="J40" t="s" s="113">
        <v>43</v>
      </c>
      <c r="K40" t="s" s="83">
        <v>162</v>
      </c>
      <c r="L40" t="s" s="83">
        <v>43</v>
      </c>
      <c r="M40" t="s" s="83">
        <v>43</v>
      </c>
      <c r="N40" s="79">
        <v>10</v>
      </c>
      <c r="O40" s="79">
        <v>10</v>
      </c>
      <c r="P40" s="79">
        <v>10</v>
      </c>
      <c r="Q40" s="79">
        <v>8</v>
      </c>
      <c r="R40" s="75"/>
      <c r="S40" s="79">
        <v>9</v>
      </c>
      <c r="T40" s="79">
        <v>10</v>
      </c>
      <c r="U40" s="110">
        <v>9</v>
      </c>
      <c r="V40" s="79">
        <v>10</v>
      </c>
      <c r="W40" s="79">
        <v>12</v>
      </c>
      <c r="X40" s="79">
        <v>3</v>
      </c>
      <c r="Y40" s="108">
        <f>N40+O40+P40+Q40+S40+T40+U40+V40+W40+X40+R40</f>
        <v>91</v>
      </c>
      <c r="Z40" s="75"/>
      <c r="AA40" s="75"/>
      <c r="AB40" s="79">
        <v>10</v>
      </c>
      <c r="AC40" s="110">
        <v>10</v>
      </c>
      <c r="AD40" s="79">
        <v>9</v>
      </c>
      <c r="AE40" s="110">
        <v>17</v>
      </c>
      <c r="AF40" s="79">
        <v>19</v>
      </c>
      <c r="AG40" s="110">
        <v>3</v>
      </c>
      <c r="AH40" s="79">
        <v>23</v>
      </c>
      <c r="AI40" s="111">
        <f>AB40+AC40+AD40+AE40+AF40+AG40+AH40</f>
        <v>91</v>
      </c>
      <c r="AJ40" s="18"/>
      <c r="AK40" s="112">
        <v>36</v>
      </c>
      <c r="AL40" s="110">
        <v>10</v>
      </c>
      <c r="AM40" s="79">
        <v>20</v>
      </c>
      <c r="AN40" s="110">
        <v>20</v>
      </c>
      <c r="AO40" s="79">
        <v>10</v>
      </c>
      <c r="AP40" s="79">
        <v>14</v>
      </c>
      <c r="AQ40" s="110">
        <v>10</v>
      </c>
      <c r="AR40" s="77">
        <v>18</v>
      </c>
      <c r="AS40" s="76"/>
      <c r="AT40" s="77">
        <f>SUM(AL40:AS40)</f>
        <v>102</v>
      </c>
      <c r="AU40" s="18"/>
      <c r="AV40" s="78">
        <v>36</v>
      </c>
      <c r="AW40" s="110">
        <v>100</v>
      </c>
      <c r="AX40" s="75"/>
      <c r="AY40" s="18"/>
      <c r="AZ40" s="110">
        <f>AI40</f>
        <v>91</v>
      </c>
      <c r="BA40" s="75"/>
      <c r="BB40" s="18"/>
      <c r="BC40" s="110">
        <f>Y40</f>
        <v>91</v>
      </c>
      <c r="BD40" s="75"/>
      <c r="BE40" s="18"/>
      <c r="BF40" s="76"/>
      <c r="BG40" s="75"/>
      <c r="BH40" s="18"/>
      <c r="BI40" s="78">
        <v>36</v>
      </c>
      <c r="BJ40" s="110">
        <v>100</v>
      </c>
      <c r="BK40" s="75"/>
      <c r="BL40" s="18"/>
      <c r="BM40" s="110">
        <f>AI40-1</f>
        <v>90</v>
      </c>
      <c r="BN40" s="75"/>
      <c r="BO40" s="18"/>
      <c r="BP40" s="110">
        <f>BC40-1</f>
        <v>90</v>
      </c>
      <c r="BQ40" s="75"/>
      <c r="BR40" s="18"/>
      <c r="BS40" s="76"/>
      <c r="BT40" s="75"/>
      <c r="BU40" s="18"/>
      <c r="BV40" s="78">
        <v>36</v>
      </c>
      <c r="BW40" s="110">
        <v>100</v>
      </c>
      <c r="BX40" s="75"/>
      <c r="BY40" s="18"/>
      <c r="BZ40" s="110">
        <f>AI40+2</f>
        <v>93</v>
      </c>
      <c r="CA40" s="75"/>
      <c r="CB40" s="18"/>
      <c r="CC40" s="110">
        <f>BC40+2</f>
        <v>93</v>
      </c>
      <c r="CD40" s="75"/>
      <c r="CE40" s="18"/>
      <c r="CF40" s="76"/>
      <c r="CG40" s="75"/>
      <c r="CH40" s="18"/>
      <c r="CI40" s="78">
        <v>36</v>
      </c>
      <c r="CJ40" s="110">
        <v>100</v>
      </c>
      <c r="CK40" s="75"/>
      <c r="CL40" s="18"/>
      <c r="CM40" s="110">
        <f>AI40+1</f>
        <v>92</v>
      </c>
      <c r="CN40" s="75"/>
      <c r="CO40" s="18"/>
      <c r="CP40" s="110">
        <f>BC40+1</f>
        <v>92</v>
      </c>
      <c r="CQ40" s="75"/>
      <c r="CR40" s="18"/>
      <c r="CS40" s="76"/>
      <c r="CT40" s="75"/>
      <c r="CU40" s="18"/>
      <c r="CV40" s="78">
        <v>36</v>
      </c>
      <c r="CW40" s="79">
        <f>(AW40+AZ40+BC40+BF40)/4</f>
        <v>70.5</v>
      </c>
      <c r="CX40" s="79">
        <f>(BJ40+BM40+BP40+BS40)/4</f>
        <v>70</v>
      </c>
      <c r="CY40" s="79">
        <f>(BW40+BZ40+CC40+CF40)/4</f>
        <v>71.5</v>
      </c>
      <c r="CZ40" s="79">
        <f>(CJ40+CM40+CP40+CS40)/4</f>
        <v>71</v>
      </c>
      <c r="DA40" s="18"/>
      <c r="DB40" s="80">
        <f>SUM(CW40:CZ40)/4</f>
        <v>70.75</v>
      </c>
      <c r="DC40" s="18"/>
      <c r="DD40" s="79">
        <f>DB40*0.5</f>
        <v>35.375</v>
      </c>
      <c r="DE40" s="75"/>
      <c r="DF40" s="79">
        <f>DE40*0.5</f>
        <v>0</v>
      </c>
      <c r="DG40" s="81">
        <f>DF40+DD40</f>
        <v>35.375</v>
      </c>
      <c r="DH40" s="18"/>
      <c r="DI40" s="79">
        <f>DB40*0.3</f>
        <v>21.225</v>
      </c>
      <c r="DJ40" s="75"/>
      <c r="DK40" s="79">
        <f>DJ40*0.7</f>
        <v>0</v>
      </c>
      <c r="DL40" s="81">
        <f>DK40+DI40</f>
        <v>21.225</v>
      </c>
    </row>
    <row r="41" ht="24.75" customHeight="1">
      <c r="A41" s="105"/>
      <c r="B41" s="106">
        <v>37</v>
      </c>
      <c r="C41" t="s" s="70">
        <v>251</v>
      </c>
      <c r="D41" t="s" s="71">
        <v>252</v>
      </c>
      <c r="E41" t="s" s="72">
        <v>43</v>
      </c>
      <c r="F41" t="s" s="113">
        <v>43</v>
      </c>
      <c r="G41" s="74"/>
      <c r="H41" t="s" s="113">
        <v>163</v>
      </c>
      <c r="I41" t="s" s="72">
        <v>43</v>
      </c>
      <c r="J41" t="s" s="113">
        <v>43</v>
      </c>
      <c r="K41" t="s" s="83">
        <v>43</v>
      </c>
      <c r="L41" t="s" s="83">
        <v>161</v>
      </c>
      <c r="M41" t="s" s="83">
        <v>161</v>
      </c>
      <c r="N41" s="79">
        <v>10</v>
      </c>
      <c r="O41" s="79">
        <v>8</v>
      </c>
      <c r="P41" s="79">
        <v>8</v>
      </c>
      <c r="Q41" s="79">
        <v>9</v>
      </c>
      <c r="R41" s="75"/>
      <c r="S41" s="79">
        <v>9</v>
      </c>
      <c r="T41" s="79">
        <v>10</v>
      </c>
      <c r="U41" s="110">
        <v>10</v>
      </c>
      <c r="V41" s="79">
        <v>9</v>
      </c>
      <c r="W41" s="79">
        <v>13</v>
      </c>
      <c r="X41" s="79">
        <v>3</v>
      </c>
      <c r="Y41" s="108">
        <f>N41+O41+P41+Q41+S41+T41+U41+V41+W41+X41+R41</f>
        <v>89</v>
      </c>
      <c r="Z41" s="75"/>
      <c r="AA41" s="75"/>
      <c r="AB41" s="79">
        <v>10</v>
      </c>
      <c r="AC41" s="110">
        <v>9</v>
      </c>
      <c r="AD41" s="79">
        <v>10</v>
      </c>
      <c r="AE41" s="110">
        <v>20</v>
      </c>
      <c r="AF41" s="79">
        <v>8</v>
      </c>
      <c r="AG41" s="110">
        <v>0</v>
      </c>
      <c r="AH41" s="79">
        <v>23</v>
      </c>
      <c r="AI41" s="111">
        <f>AB41+AC41+AD41+AE41+AF41+AG41+AH41</f>
        <v>80</v>
      </c>
      <c r="AJ41" s="18"/>
      <c r="AK41" s="112">
        <v>37</v>
      </c>
      <c r="AL41" s="110">
        <v>10</v>
      </c>
      <c r="AM41" s="79">
        <v>20</v>
      </c>
      <c r="AN41" s="110">
        <v>20</v>
      </c>
      <c r="AO41" s="79">
        <v>10</v>
      </c>
      <c r="AP41" s="79">
        <v>15</v>
      </c>
      <c r="AQ41" s="110">
        <v>10</v>
      </c>
      <c r="AR41" s="77">
        <v>18</v>
      </c>
      <c r="AS41" s="76"/>
      <c r="AT41" s="77">
        <f>SUM(AL41:AS41)</f>
        <v>103</v>
      </c>
      <c r="AU41" s="18"/>
      <c r="AV41" s="78">
        <v>37</v>
      </c>
      <c r="AW41" s="110">
        <v>100</v>
      </c>
      <c r="AX41" s="75"/>
      <c r="AY41" s="18"/>
      <c r="AZ41" s="110">
        <f>AI41</f>
        <v>80</v>
      </c>
      <c r="BA41" s="75"/>
      <c r="BB41" s="18"/>
      <c r="BC41" s="110">
        <f>Y41</f>
        <v>89</v>
      </c>
      <c r="BD41" s="75"/>
      <c r="BE41" s="18"/>
      <c r="BF41" s="76"/>
      <c r="BG41" s="75"/>
      <c r="BH41" s="18"/>
      <c r="BI41" s="78">
        <v>37</v>
      </c>
      <c r="BJ41" s="110">
        <v>100</v>
      </c>
      <c r="BK41" s="75"/>
      <c r="BL41" s="18"/>
      <c r="BM41" s="110">
        <f>AI41-1</f>
        <v>79</v>
      </c>
      <c r="BN41" s="75"/>
      <c r="BO41" s="18"/>
      <c r="BP41" s="110">
        <f>BC41-1</f>
        <v>88</v>
      </c>
      <c r="BQ41" s="75"/>
      <c r="BR41" s="18"/>
      <c r="BS41" s="76"/>
      <c r="BT41" s="75"/>
      <c r="BU41" s="18"/>
      <c r="BV41" s="78">
        <v>37</v>
      </c>
      <c r="BW41" s="110">
        <v>100</v>
      </c>
      <c r="BX41" s="75"/>
      <c r="BY41" s="18"/>
      <c r="BZ41" s="110">
        <f>AI41+2</f>
        <v>82</v>
      </c>
      <c r="CA41" s="75"/>
      <c r="CB41" s="18"/>
      <c r="CC41" s="110">
        <f>BC41+2</f>
        <v>91</v>
      </c>
      <c r="CD41" s="75"/>
      <c r="CE41" s="18"/>
      <c r="CF41" s="76"/>
      <c r="CG41" s="75"/>
      <c r="CH41" s="18"/>
      <c r="CI41" s="78">
        <v>37</v>
      </c>
      <c r="CJ41" s="110">
        <v>100</v>
      </c>
      <c r="CK41" s="75"/>
      <c r="CL41" s="18"/>
      <c r="CM41" s="110">
        <f>AI41+1</f>
        <v>81</v>
      </c>
      <c r="CN41" s="75"/>
      <c r="CO41" s="18"/>
      <c r="CP41" s="110">
        <f>BC41+1</f>
        <v>90</v>
      </c>
      <c r="CQ41" s="75"/>
      <c r="CR41" s="18"/>
      <c r="CS41" s="76"/>
      <c r="CT41" s="75"/>
      <c r="CU41" s="18"/>
      <c r="CV41" s="78">
        <v>37</v>
      </c>
      <c r="CW41" s="79">
        <f>(AW41+AZ41+BC41+BF41)/4</f>
        <v>67.25</v>
      </c>
      <c r="CX41" s="79">
        <f>(BJ41+BM41+BP41+BS41)/4</f>
        <v>66.75</v>
      </c>
      <c r="CY41" s="79">
        <f>(BW41+BZ41+CC41+CF41)/4</f>
        <v>68.25</v>
      </c>
      <c r="CZ41" s="79">
        <f>(CJ41+CM41+CP41+CS41)/4</f>
        <v>67.75</v>
      </c>
      <c r="DA41" s="18"/>
      <c r="DB41" s="80">
        <f>SUM(CW41:CZ41)/4</f>
        <v>67.5</v>
      </c>
      <c r="DC41" s="18"/>
      <c r="DD41" s="79">
        <f>DB41*0.5</f>
        <v>33.75</v>
      </c>
      <c r="DE41" s="75"/>
      <c r="DF41" s="79">
        <f>DE41*0.5</f>
        <v>0</v>
      </c>
      <c r="DG41" s="81">
        <f>DF41+DD41</f>
        <v>33.75</v>
      </c>
      <c r="DH41" s="18"/>
      <c r="DI41" s="79">
        <f>DB41*0.3</f>
        <v>20.25</v>
      </c>
      <c r="DJ41" s="75"/>
      <c r="DK41" s="79">
        <f>DJ41*0.7</f>
        <v>0</v>
      </c>
      <c r="DL41" s="81">
        <f>DK41+DI41</f>
        <v>20.25</v>
      </c>
    </row>
    <row r="42" ht="24.75" customHeight="1">
      <c r="A42" s="105"/>
      <c r="B42" s="106">
        <v>38</v>
      </c>
      <c r="C42" t="s" s="70">
        <v>253</v>
      </c>
      <c r="D42" t="s" s="71">
        <v>254</v>
      </c>
      <c r="E42" t="s" s="72">
        <v>43</v>
      </c>
      <c r="F42" t="s" s="113">
        <v>43</v>
      </c>
      <c r="G42" s="74"/>
      <c r="H42" t="s" s="113">
        <v>43</v>
      </c>
      <c r="I42" t="s" s="72">
        <v>43</v>
      </c>
      <c r="J42" t="s" s="113">
        <v>43</v>
      </c>
      <c r="K42" t="s" s="83">
        <v>162</v>
      </c>
      <c r="L42" t="s" s="83">
        <v>43</v>
      </c>
      <c r="M42" t="s" s="83">
        <v>163</v>
      </c>
      <c r="N42" s="79">
        <v>10</v>
      </c>
      <c r="O42" s="79">
        <v>10</v>
      </c>
      <c r="P42" s="79">
        <v>9</v>
      </c>
      <c r="Q42" s="79">
        <v>8</v>
      </c>
      <c r="R42" s="79">
        <v>10</v>
      </c>
      <c r="S42" s="79">
        <v>10</v>
      </c>
      <c r="T42" s="79">
        <v>10</v>
      </c>
      <c r="U42" s="110">
        <v>9</v>
      </c>
      <c r="V42" s="79">
        <v>10</v>
      </c>
      <c r="W42" s="79">
        <v>12</v>
      </c>
      <c r="X42" s="79">
        <v>3</v>
      </c>
      <c r="Y42" s="108">
        <f>N42+O42+P42+Q42+S42+T42+U42+V42+W42+X42+R42</f>
        <v>101</v>
      </c>
      <c r="Z42" s="75"/>
      <c r="AA42" s="75"/>
      <c r="AB42" s="79">
        <v>10</v>
      </c>
      <c r="AC42" s="110">
        <v>9</v>
      </c>
      <c r="AD42" s="79">
        <v>10</v>
      </c>
      <c r="AE42" s="110">
        <v>20</v>
      </c>
      <c r="AF42" s="79">
        <v>18</v>
      </c>
      <c r="AG42" s="110">
        <v>10</v>
      </c>
      <c r="AH42" s="79">
        <v>23</v>
      </c>
      <c r="AI42" s="111">
        <f>AB42+AC42+AD42+AE42+AF42+AG42+AH42</f>
        <v>100</v>
      </c>
      <c r="AJ42" s="18"/>
      <c r="AK42" s="112">
        <v>38</v>
      </c>
      <c r="AL42" s="110">
        <v>10</v>
      </c>
      <c r="AM42" s="79">
        <v>20</v>
      </c>
      <c r="AN42" s="110">
        <v>20</v>
      </c>
      <c r="AO42" s="79">
        <v>10</v>
      </c>
      <c r="AP42" s="79">
        <v>15</v>
      </c>
      <c r="AQ42" s="110">
        <v>10</v>
      </c>
      <c r="AR42" s="77">
        <v>18</v>
      </c>
      <c r="AS42" s="76"/>
      <c r="AT42" s="77">
        <f>SUM(AL42:AS42)</f>
        <v>103</v>
      </c>
      <c r="AU42" s="18"/>
      <c r="AV42" s="78">
        <v>38</v>
      </c>
      <c r="AW42" s="110">
        <v>100</v>
      </c>
      <c r="AX42" s="75"/>
      <c r="AY42" s="18"/>
      <c r="AZ42" s="110">
        <f>AI42</f>
        <v>100</v>
      </c>
      <c r="BA42" s="75"/>
      <c r="BB42" s="18"/>
      <c r="BC42" s="110">
        <v>100</v>
      </c>
      <c r="BD42" s="75"/>
      <c r="BE42" s="18"/>
      <c r="BF42" s="76"/>
      <c r="BG42" s="75"/>
      <c r="BH42" s="18"/>
      <c r="BI42" s="78">
        <v>38</v>
      </c>
      <c r="BJ42" s="110">
        <v>100</v>
      </c>
      <c r="BK42" s="75"/>
      <c r="BL42" s="18"/>
      <c r="BM42" s="110">
        <f>AI42-1</f>
        <v>99</v>
      </c>
      <c r="BN42" s="75"/>
      <c r="BO42" s="18"/>
      <c r="BP42" s="110">
        <f>BC42-1</f>
        <v>99</v>
      </c>
      <c r="BQ42" s="75"/>
      <c r="BR42" s="18"/>
      <c r="BS42" s="76"/>
      <c r="BT42" s="75"/>
      <c r="BU42" s="18"/>
      <c r="BV42" s="78">
        <v>38</v>
      </c>
      <c r="BW42" s="110">
        <v>100</v>
      </c>
      <c r="BX42" s="75"/>
      <c r="BY42" s="18"/>
      <c r="BZ42" s="110">
        <v>100</v>
      </c>
      <c r="CA42" s="75"/>
      <c r="CB42" s="18"/>
      <c r="CC42" s="110">
        <v>100</v>
      </c>
      <c r="CD42" s="75"/>
      <c r="CE42" s="18"/>
      <c r="CF42" s="76"/>
      <c r="CG42" s="75"/>
      <c r="CH42" s="18"/>
      <c r="CI42" s="78">
        <v>38</v>
      </c>
      <c r="CJ42" s="110">
        <v>100</v>
      </c>
      <c r="CK42" s="75"/>
      <c r="CL42" s="18"/>
      <c r="CM42" s="110">
        <v>100</v>
      </c>
      <c r="CN42" s="75"/>
      <c r="CO42" s="18"/>
      <c r="CP42" s="110">
        <v>100</v>
      </c>
      <c r="CQ42" s="75"/>
      <c r="CR42" s="18"/>
      <c r="CS42" s="76"/>
      <c r="CT42" s="75"/>
      <c r="CU42" s="18"/>
      <c r="CV42" s="78">
        <v>38</v>
      </c>
      <c r="CW42" s="79">
        <f>(AW42+AZ42+BC42+BF42)/4</f>
        <v>75</v>
      </c>
      <c r="CX42" s="79">
        <f>(BJ42+BM42+BP42+BS42)/4</f>
        <v>74.5</v>
      </c>
      <c r="CY42" s="79">
        <f>(BW42+BZ42+CC42+CF42)/4</f>
        <v>75</v>
      </c>
      <c r="CZ42" s="79">
        <f>(CJ42+CM42+CP42+CS42)/4</f>
        <v>75</v>
      </c>
      <c r="DA42" s="18"/>
      <c r="DB42" s="80">
        <f>SUM(CW42:CZ42)/4</f>
        <v>74.875</v>
      </c>
      <c r="DC42" s="18"/>
      <c r="DD42" s="79">
        <f>DB42*0.5</f>
        <v>37.4375</v>
      </c>
      <c r="DE42" s="75"/>
      <c r="DF42" s="79">
        <f>DE42*0.5</f>
        <v>0</v>
      </c>
      <c r="DG42" s="81">
        <f>DF42+DD42</f>
        <v>37.4375</v>
      </c>
      <c r="DH42" s="18"/>
      <c r="DI42" s="79">
        <f>DB42*0.3</f>
        <v>22.4625</v>
      </c>
      <c r="DJ42" s="75"/>
      <c r="DK42" s="79">
        <f>DJ42*0.7</f>
        <v>0</v>
      </c>
      <c r="DL42" s="81">
        <f>DK42+DI42</f>
        <v>22.4625</v>
      </c>
    </row>
    <row r="43" ht="24.75" customHeight="1">
      <c r="A43" s="105"/>
      <c r="B43" s="106">
        <v>39</v>
      </c>
      <c r="C43" t="s" s="70">
        <v>125</v>
      </c>
      <c r="D43" t="s" s="71">
        <v>255</v>
      </c>
      <c r="E43" t="s" s="72">
        <v>43</v>
      </c>
      <c r="F43" t="s" s="113">
        <v>161</v>
      </c>
      <c r="G43" s="74"/>
      <c r="H43" t="s" s="113">
        <v>43</v>
      </c>
      <c r="I43" t="s" s="72">
        <v>191</v>
      </c>
      <c r="J43" t="s" s="113">
        <v>43</v>
      </c>
      <c r="K43" t="s" s="83">
        <v>43</v>
      </c>
      <c r="L43" t="s" s="83">
        <v>43</v>
      </c>
      <c r="M43" t="s" s="83">
        <v>43</v>
      </c>
      <c r="N43" s="79">
        <v>10</v>
      </c>
      <c r="O43" s="79">
        <v>10</v>
      </c>
      <c r="P43" s="79">
        <v>9</v>
      </c>
      <c r="Q43" s="79">
        <v>8</v>
      </c>
      <c r="R43" s="75"/>
      <c r="S43" s="79">
        <v>9</v>
      </c>
      <c r="T43" s="79">
        <v>8</v>
      </c>
      <c r="U43" s="110">
        <v>9</v>
      </c>
      <c r="V43" s="79">
        <v>10</v>
      </c>
      <c r="W43" s="79">
        <v>11</v>
      </c>
      <c r="X43" s="79">
        <v>3</v>
      </c>
      <c r="Y43" s="108">
        <f>N43+O43+P43+Q43+S43+T43+U43+V43+W43+X43+R43</f>
        <v>87</v>
      </c>
      <c r="Z43" s="75"/>
      <c r="AA43" s="75"/>
      <c r="AB43" s="79">
        <v>8</v>
      </c>
      <c r="AC43" s="110">
        <v>9</v>
      </c>
      <c r="AD43" s="79">
        <v>9</v>
      </c>
      <c r="AE43" s="110">
        <v>17</v>
      </c>
      <c r="AF43" s="79">
        <v>10</v>
      </c>
      <c r="AG43" s="110">
        <v>5</v>
      </c>
      <c r="AH43" s="79">
        <v>23</v>
      </c>
      <c r="AI43" s="111">
        <f>AB43+AC43+AD43+AE43+AF43+AG43+AH43</f>
        <v>81</v>
      </c>
      <c r="AJ43" s="18"/>
      <c r="AK43" s="112">
        <v>39</v>
      </c>
      <c r="AL43" s="110">
        <v>10</v>
      </c>
      <c r="AM43" s="79">
        <v>12</v>
      </c>
      <c r="AN43" s="110">
        <v>20</v>
      </c>
      <c r="AO43" s="79">
        <v>10</v>
      </c>
      <c r="AP43" s="75"/>
      <c r="AQ43" s="110">
        <v>8</v>
      </c>
      <c r="AR43" s="77">
        <v>18</v>
      </c>
      <c r="AS43" s="76"/>
      <c r="AT43" s="77">
        <f>SUM(AL43:AS43)</f>
        <v>78</v>
      </c>
      <c r="AU43" s="18"/>
      <c r="AV43" s="78">
        <v>39</v>
      </c>
      <c r="AW43" s="110">
        <f>AT43+0</f>
        <v>78</v>
      </c>
      <c r="AX43" s="75"/>
      <c r="AY43" s="18"/>
      <c r="AZ43" s="110">
        <f>AI43</f>
        <v>81</v>
      </c>
      <c r="BA43" s="75"/>
      <c r="BB43" s="18"/>
      <c r="BC43" s="110">
        <f>Y43</f>
        <v>87</v>
      </c>
      <c r="BD43" s="75"/>
      <c r="BE43" s="18"/>
      <c r="BF43" s="76"/>
      <c r="BG43" s="75"/>
      <c r="BH43" s="18"/>
      <c r="BI43" s="78">
        <v>39</v>
      </c>
      <c r="BJ43" s="110">
        <f>AT43-1</f>
        <v>77</v>
      </c>
      <c r="BK43" s="75"/>
      <c r="BL43" s="18"/>
      <c r="BM43" s="110">
        <f>AI43-1</f>
        <v>80</v>
      </c>
      <c r="BN43" s="75"/>
      <c r="BO43" s="18"/>
      <c r="BP43" s="110">
        <f>BC43-1</f>
        <v>86</v>
      </c>
      <c r="BQ43" s="75"/>
      <c r="BR43" s="18"/>
      <c r="BS43" s="76"/>
      <c r="BT43" s="75"/>
      <c r="BU43" s="18"/>
      <c r="BV43" s="78">
        <v>39</v>
      </c>
      <c r="BW43" s="110">
        <f>AT43+2</f>
        <v>80</v>
      </c>
      <c r="BX43" s="75"/>
      <c r="BY43" s="18"/>
      <c r="BZ43" s="110">
        <f>AI43+2</f>
        <v>83</v>
      </c>
      <c r="CA43" s="75"/>
      <c r="CB43" s="18"/>
      <c r="CC43" s="110">
        <f>BC43+2</f>
        <v>89</v>
      </c>
      <c r="CD43" s="75"/>
      <c r="CE43" s="18"/>
      <c r="CF43" s="76"/>
      <c r="CG43" s="75"/>
      <c r="CH43" s="18"/>
      <c r="CI43" s="78">
        <v>39</v>
      </c>
      <c r="CJ43" s="110">
        <f>AT43+1</f>
        <v>79</v>
      </c>
      <c r="CK43" s="75"/>
      <c r="CL43" s="18"/>
      <c r="CM43" s="110">
        <f>AI43+1</f>
        <v>82</v>
      </c>
      <c r="CN43" s="75"/>
      <c r="CO43" s="18"/>
      <c r="CP43" s="110">
        <f>BC43+1</f>
        <v>88</v>
      </c>
      <c r="CQ43" s="75"/>
      <c r="CR43" s="18"/>
      <c r="CS43" s="76"/>
      <c r="CT43" s="75"/>
      <c r="CU43" s="18"/>
      <c r="CV43" s="78">
        <v>39</v>
      </c>
      <c r="CW43" s="79">
        <f>(AW43+AZ43+BC43+BF43)/4</f>
        <v>61.5</v>
      </c>
      <c r="CX43" s="79">
        <f>(BJ43+BM43+BP43+BS43)/4</f>
        <v>60.75</v>
      </c>
      <c r="CY43" s="79">
        <f>(BW43+BZ43+CC43+CF43)/4</f>
        <v>63</v>
      </c>
      <c r="CZ43" s="79">
        <f>(CJ43+CM43+CP43+CS43)/4</f>
        <v>62.25</v>
      </c>
      <c r="DA43" s="18"/>
      <c r="DB43" s="80">
        <f>SUM(CW43:CZ43)/4</f>
        <v>61.875</v>
      </c>
      <c r="DC43" s="18"/>
      <c r="DD43" s="79">
        <f>DB43*0.5</f>
        <v>30.9375</v>
      </c>
      <c r="DE43" s="75"/>
      <c r="DF43" s="79">
        <f>DE43*0.5</f>
        <v>0</v>
      </c>
      <c r="DG43" s="81">
        <f>DF43+DD43</f>
        <v>30.9375</v>
      </c>
      <c r="DH43" s="18"/>
      <c r="DI43" s="79">
        <f>DB43*0.3</f>
        <v>18.5625</v>
      </c>
      <c r="DJ43" s="75"/>
      <c r="DK43" s="79">
        <f>DJ43*0.7</f>
        <v>0</v>
      </c>
      <c r="DL43" s="81">
        <f>DK43+DI43</f>
        <v>18.5625</v>
      </c>
    </row>
    <row r="44" ht="24.75" customHeight="1">
      <c r="A44" s="105"/>
      <c r="B44" s="106">
        <v>40</v>
      </c>
      <c r="C44" t="s" s="70">
        <v>256</v>
      </c>
      <c r="D44" t="s" s="71">
        <v>257</v>
      </c>
      <c r="E44" t="s" s="72">
        <v>43</v>
      </c>
      <c r="F44" t="s" s="113">
        <v>162</v>
      </c>
      <c r="G44" s="74"/>
      <c r="H44" t="s" s="113">
        <v>43</v>
      </c>
      <c r="I44" t="s" s="72">
        <v>43</v>
      </c>
      <c r="J44" t="s" s="113">
        <v>43</v>
      </c>
      <c r="K44" t="s" s="83">
        <v>162</v>
      </c>
      <c r="L44" t="s" s="83">
        <v>43</v>
      </c>
      <c r="M44" t="s" s="83">
        <v>43</v>
      </c>
      <c r="N44" s="79">
        <v>10</v>
      </c>
      <c r="O44" s="79">
        <v>10</v>
      </c>
      <c r="P44" s="79">
        <v>8</v>
      </c>
      <c r="Q44" s="79">
        <v>10</v>
      </c>
      <c r="R44" s="75"/>
      <c r="S44" s="79">
        <v>9</v>
      </c>
      <c r="T44" s="79">
        <v>10</v>
      </c>
      <c r="U44" s="110">
        <v>9</v>
      </c>
      <c r="V44" s="79">
        <v>9</v>
      </c>
      <c r="W44" s="79">
        <v>11</v>
      </c>
      <c r="X44" s="79">
        <v>3</v>
      </c>
      <c r="Y44" s="108">
        <f>N44+O44+P44+Q44+S44+T44+U44+V44+W44+X44+R44</f>
        <v>89</v>
      </c>
      <c r="Z44" t="s" s="83">
        <v>258</v>
      </c>
      <c r="AA44" s="75"/>
      <c r="AB44" s="79">
        <v>10</v>
      </c>
      <c r="AC44" s="110">
        <v>9</v>
      </c>
      <c r="AD44" s="79">
        <v>9</v>
      </c>
      <c r="AE44" s="110">
        <v>17</v>
      </c>
      <c r="AF44" s="79">
        <v>17</v>
      </c>
      <c r="AG44" s="110">
        <v>5</v>
      </c>
      <c r="AH44" s="79">
        <v>23</v>
      </c>
      <c r="AI44" s="111">
        <f>AB44+AC44+AD44+AE44+AF44+AG44+AH44</f>
        <v>90</v>
      </c>
      <c r="AJ44" s="18"/>
      <c r="AK44" s="112">
        <v>40</v>
      </c>
      <c r="AL44" s="110">
        <v>10</v>
      </c>
      <c r="AM44" s="79">
        <v>17</v>
      </c>
      <c r="AN44" s="110">
        <v>20</v>
      </c>
      <c r="AO44" s="79">
        <v>10</v>
      </c>
      <c r="AP44" s="79">
        <v>15</v>
      </c>
      <c r="AQ44" s="110">
        <v>10</v>
      </c>
      <c r="AR44" s="77">
        <v>18</v>
      </c>
      <c r="AS44" s="76"/>
      <c r="AT44" s="77">
        <f>SUM(AL44:AS44)</f>
        <v>100</v>
      </c>
      <c r="AU44" s="18"/>
      <c r="AV44" s="78">
        <v>40</v>
      </c>
      <c r="AW44" s="110">
        <f>AT44+0</f>
        <v>100</v>
      </c>
      <c r="AX44" s="75"/>
      <c r="AY44" s="18"/>
      <c r="AZ44" s="110">
        <f>AI44</f>
        <v>90</v>
      </c>
      <c r="BA44" s="75"/>
      <c r="BB44" s="18"/>
      <c r="BC44" s="110">
        <f>Y44</f>
        <v>89</v>
      </c>
      <c r="BD44" s="75"/>
      <c r="BE44" s="18"/>
      <c r="BF44" s="76"/>
      <c r="BG44" s="75"/>
      <c r="BH44" s="18"/>
      <c r="BI44" s="78">
        <v>40</v>
      </c>
      <c r="BJ44" s="110">
        <f>AT44-1</f>
        <v>99</v>
      </c>
      <c r="BK44" s="75"/>
      <c r="BL44" s="18"/>
      <c r="BM44" s="110">
        <f>AI44-1</f>
        <v>89</v>
      </c>
      <c r="BN44" s="75"/>
      <c r="BO44" s="18"/>
      <c r="BP44" s="110">
        <f>BC44-1</f>
        <v>88</v>
      </c>
      <c r="BQ44" s="75"/>
      <c r="BR44" s="18"/>
      <c r="BS44" s="76"/>
      <c r="BT44" s="75"/>
      <c r="BU44" s="18"/>
      <c r="BV44" s="78">
        <v>40</v>
      </c>
      <c r="BW44" s="110">
        <v>100</v>
      </c>
      <c r="BX44" s="75"/>
      <c r="BY44" s="18"/>
      <c r="BZ44" s="110">
        <f>AI44+2</f>
        <v>92</v>
      </c>
      <c r="CA44" s="75"/>
      <c r="CB44" s="18"/>
      <c r="CC44" s="110">
        <f>BC44+2</f>
        <v>91</v>
      </c>
      <c r="CD44" s="75"/>
      <c r="CE44" s="18"/>
      <c r="CF44" s="76"/>
      <c r="CG44" s="75"/>
      <c r="CH44" s="18"/>
      <c r="CI44" s="78">
        <v>40</v>
      </c>
      <c r="CJ44" s="110">
        <v>100</v>
      </c>
      <c r="CK44" s="75"/>
      <c r="CL44" s="18"/>
      <c r="CM44" s="110">
        <f>AI44+1</f>
        <v>91</v>
      </c>
      <c r="CN44" s="75"/>
      <c r="CO44" s="18"/>
      <c r="CP44" s="110">
        <f>BC44+1</f>
        <v>90</v>
      </c>
      <c r="CQ44" s="75"/>
      <c r="CR44" s="18"/>
      <c r="CS44" s="76"/>
      <c r="CT44" s="75"/>
      <c r="CU44" s="18"/>
      <c r="CV44" s="78">
        <v>40</v>
      </c>
      <c r="CW44" s="79">
        <f>(AW44+AZ44+BC44+BF44)/4</f>
        <v>69.75</v>
      </c>
      <c r="CX44" s="79">
        <f>(BJ44+BM44+BP44+BS44)/4</f>
        <v>69</v>
      </c>
      <c r="CY44" s="79">
        <f>(BW44+BZ44+CC44+CF44)/4</f>
        <v>70.75</v>
      </c>
      <c r="CZ44" s="79">
        <f>(CJ44+CM44+CP44+CS44)/4</f>
        <v>70.25</v>
      </c>
      <c r="DA44" s="18"/>
      <c r="DB44" s="80">
        <f>SUM(CW44:CZ44)/4</f>
        <v>69.9375</v>
      </c>
      <c r="DC44" s="18"/>
      <c r="DD44" s="79">
        <f>DB44*0.5</f>
        <v>34.96875</v>
      </c>
      <c r="DE44" s="75"/>
      <c r="DF44" s="79">
        <f>DE44*0.5</f>
        <v>0</v>
      </c>
      <c r="DG44" s="81">
        <f>DF44+DD44</f>
        <v>34.96875</v>
      </c>
      <c r="DH44" s="18"/>
      <c r="DI44" s="79">
        <f>DB44*0.3</f>
        <v>20.98125</v>
      </c>
      <c r="DJ44" s="75"/>
      <c r="DK44" s="79">
        <f>DJ44*0.7</f>
        <v>0</v>
      </c>
      <c r="DL44" s="81">
        <f>DK44+DI44</f>
        <v>20.98125</v>
      </c>
    </row>
    <row r="45" ht="21.75" customHeight="1">
      <c r="A45" s="144"/>
      <c r="B45" s="106">
        <v>41</v>
      </c>
      <c r="C45" t="s" s="70">
        <v>259</v>
      </c>
      <c r="D45" t="s" s="71">
        <v>260</v>
      </c>
      <c r="E45" t="s" s="72">
        <v>43</v>
      </c>
      <c r="F45" t="s" s="113">
        <v>43</v>
      </c>
      <c r="G45" s="74"/>
      <c r="H45" t="s" s="113">
        <v>43</v>
      </c>
      <c r="I45" t="s" s="72">
        <v>162</v>
      </c>
      <c r="J45" t="s" s="113">
        <v>43</v>
      </c>
      <c r="K45" s="79">
        <v>-5</v>
      </c>
      <c r="L45" t="s" s="83">
        <v>43</v>
      </c>
      <c r="M45" t="s" s="127">
        <v>43</v>
      </c>
      <c r="N45" s="79">
        <v>10</v>
      </c>
      <c r="O45" s="79">
        <v>8</v>
      </c>
      <c r="P45" s="79">
        <v>7</v>
      </c>
      <c r="Q45" s="79">
        <v>7</v>
      </c>
      <c r="R45" s="79">
        <v>1</v>
      </c>
      <c r="S45" s="79">
        <v>9</v>
      </c>
      <c r="T45" s="79">
        <v>8</v>
      </c>
      <c r="U45" s="110">
        <v>9</v>
      </c>
      <c r="V45" s="79">
        <v>5</v>
      </c>
      <c r="W45" s="79">
        <v>13</v>
      </c>
      <c r="X45" s="79">
        <v>3</v>
      </c>
      <c r="Y45" s="108">
        <f>N45+O45+P45+Q45+S45+T45+U45+V45+W45+X45+R45</f>
        <v>80</v>
      </c>
      <c r="Z45" s="63"/>
      <c r="AA45" s="75"/>
      <c r="AB45" s="79">
        <v>10</v>
      </c>
      <c r="AC45" s="110">
        <v>8</v>
      </c>
      <c r="AD45" s="79">
        <v>5</v>
      </c>
      <c r="AE45" s="110">
        <v>17</v>
      </c>
      <c r="AF45" s="79">
        <v>0</v>
      </c>
      <c r="AG45" s="110">
        <v>0</v>
      </c>
      <c r="AH45" s="79">
        <v>23</v>
      </c>
      <c r="AI45" s="111">
        <f>AB45+AC45+AD45+AE45+AF45+AG45+AH45</f>
        <v>63</v>
      </c>
      <c r="AJ45" s="18"/>
      <c r="AK45" s="112">
        <v>41</v>
      </c>
      <c r="AL45" s="110">
        <v>10</v>
      </c>
      <c r="AM45" s="79">
        <v>18</v>
      </c>
      <c r="AN45" s="110">
        <v>20</v>
      </c>
      <c r="AO45" s="79">
        <v>10</v>
      </c>
      <c r="AP45" s="79">
        <v>10</v>
      </c>
      <c r="AQ45" s="110">
        <v>9</v>
      </c>
      <c r="AR45" s="77">
        <v>18</v>
      </c>
      <c r="AS45" s="76"/>
      <c r="AT45" s="145">
        <f>SUM(AL45:AS45)</f>
        <v>95</v>
      </c>
      <c r="AU45" t="s" s="129">
        <v>202</v>
      </c>
      <c r="AV45" s="78">
        <v>41</v>
      </c>
      <c r="AW45" s="110">
        <f>AT45+0</f>
        <v>95</v>
      </c>
      <c r="AX45" s="79">
        <v>95</v>
      </c>
      <c r="AY45" s="18"/>
      <c r="AZ45" s="110">
        <f>AI45</f>
        <v>63</v>
      </c>
      <c r="BA45" s="79">
        <v>75</v>
      </c>
      <c r="BB45" s="18"/>
      <c r="BC45" s="110">
        <f>Y45</f>
        <v>80</v>
      </c>
      <c r="BD45" s="75"/>
      <c r="BE45" s="18"/>
      <c r="BF45" s="76"/>
      <c r="BG45" s="75"/>
      <c r="BH45" s="18"/>
      <c r="BI45" s="78">
        <v>41</v>
      </c>
      <c r="BJ45" s="110">
        <f>AT45-1</f>
        <v>94</v>
      </c>
      <c r="BK45" s="79">
        <v>95</v>
      </c>
      <c r="BL45" s="18"/>
      <c r="BM45" s="110">
        <f>AI45-1</f>
        <v>62</v>
      </c>
      <c r="BN45" s="79">
        <v>75</v>
      </c>
      <c r="BO45" s="18"/>
      <c r="BP45" s="110">
        <f>BC45-1</f>
        <v>79</v>
      </c>
      <c r="BQ45" s="75"/>
      <c r="BR45" s="18"/>
      <c r="BS45" s="76"/>
      <c r="BT45" s="75"/>
      <c r="BU45" s="18"/>
      <c r="BV45" s="78">
        <v>41</v>
      </c>
      <c r="BW45" s="110">
        <f>AT45+2</f>
        <v>97</v>
      </c>
      <c r="BX45" s="79">
        <v>95</v>
      </c>
      <c r="BY45" s="18"/>
      <c r="BZ45" s="110">
        <f>AI45+2</f>
        <v>65</v>
      </c>
      <c r="CA45" s="79">
        <v>75</v>
      </c>
      <c r="CB45" s="18"/>
      <c r="CC45" s="110">
        <f>BC45+2</f>
        <v>82</v>
      </c>
      <c r="CD45" s="75"/>
      <c r="CE45" s="18"/>
      <c r="CF45" s="76"/>
      <c r="CG45" s="75"/>
      <c r="CH45" s="18"/>
      <c r="CI45" s="78">
        <v>41</v>
      </c>
      <c r="CJ45" s="110">
        <f>AT45+1</f>
        <v>96</v>
      </c>
      <c r="CK45" s="79">
        <v>95</v>
      </c>
      <c r="CL45" s="18"/>
      <c r="CM45" s="110">
        <f>AI45+1</f>
        <v>64</v>
      </c>
      <c r="CN45" s="79">
        <v>75</v>
      </c>
      <c r="CO45" s="18"/>
      <c r="CP45" s="110">
        <f>BC45+1</f>
        <v>81</v>
      </c>
      <c r="CQ45" s="75"/>
      <c r="CR45" s="18"/>
      <c r="CS45" s="76"/>
      <c r="CT45" s="75"/>
      <c r="CU45" s="18"/>
      <c r="CV45" s="78">
        <v>41</v>
      </c>
      <c r="CW45" s="79">
        <f>(AW45+AZ45+BC45+BF45)/4</f>
        <v>59.5</v>
      </c>
      <c r="CX45" s="79">
        <f>(BJ45+BM45+BP45+BS45)/4</f>
        <v>58.75</v>
      </c>
      <c r="CY45" s="79">
        <f>(BW45+BZ45+CC45+CF45)/4</f>
        <v>61</v>
      </c>
      <c r="CZ45" s="79">
        <f>(CJ45+CM45+CP45+CS45)/4</f>
        <v>60.25</v>
      </c>
      <c r="DA45" s="18"/>
      <c r="DB45" s="80">
        <f>SUM(CW45:CZ45)/4</f>
        <v>59.875</v>
      </c>
      <c r="DC45" s="18"/>
      <c r="DD45" s="79">
        <f>DB45*0.5</f>
        <v>29.9375</v>
      </c>
      <c r="DE45" s="75"/>
      <c r="DF45" s="79">
        <f>DE45*0.5</f>
        <v>0</v>
      </c>
      <c r="DG45" s="81">
        <f>DF45+DD45</f>
        <v>29.9375</v>
      </c>
      <c r="DH45" s="18"/>
      <c r="DI45" s="79">
        <f>DB45*0.3</f>
        <v>17.9625</v>
      </c>
      <c r="DJ45" s="75"/>
      <c r="DK45" s="79">
        <f>DJ45*0.7</f>
        <v>0</v>
      </c>
      <c r="DL45" s="81">
        <f>DK45+DI45</f>
        <v>17.9625</v>
      </c>
    </row>
    <row r="46" ht="15" customHeight="1">
      <c r="A46" s="146"/>
      <c r="B46" s="147"/>
      <c r="C46" s="11"/>
      <c r="D46" s="11"/>
      <c r="E46" s="11"/>
      <c r="F46" s="147"/>
      <c r="G46" s="11"/>
      <c r="H46" s="147"/>
      <c r="I46" s="11"/>
      <c r="J46" s="147"/>
      <c r="K46" s="11"/>
      <c r="L46" s="11"/>
      <c r="M46" s="11"/>
      <c r="N46" s="11"/>
      <c r="O46" s="11"/>
      <c r="P46" s="11"/>
      <c r="Q46" s="11"/>
      <c r="R46" s="11"/>
      <c r="S46" s="11"/>
      <c r="T46" s="148"/>
      <c r="U46" s="110">
        <v>8</v>
      </c>
      <c r="V46" s="79">
        <v>5</v>
      </c>
      <c r="W46" s="149"/>
      <c r="X46" s="150">
        <v>3</v>
      </c>
      <c r="Y46" s="151">
        <f>N46+O46+P46+Q46+S46+T46+U46+V46+W46+X46+R46</f>
        <v>16</v>
      </c>
      <c r="Z46" s="23"/>
      <c r="AA46" s="11"/>
      <c r="AB46" s="11"/>
      <c r="AC46" s="11"/>
      <c r="AD46" s="11"/>
      <c r="AE46" s="11"/>
      <c r="AF46" s="11"/>
      <c r="AG46" s="11"/>
      <c r="AH46" s="11"/>
      <c r="AI46" s="11"/>
      <c r="AJ46" s="23"/>
      <c r="AK46" s="23"/>
      <c r="AL46" s="11"/>
      <c r="AM46" s="11"/>
      <c r="AN46" s="11"/>
      <c r="AO46" s="11"/>
      <c r="AP46" s="11"/>
      <c r="AQ46" s="11"/>
      <c r="AR46" s="11"/>
      <c r="AS46" s="11"/>
      <c r="AT46" s="11"/>
      <c r="AU46" s="23"/>
      <c r="AV46" s="11"/>
      <c r="AW46" s="11"/>
      <c r="AX46" s="11"/>
      <c r="AY46" s="23"/>
      <c r="AZ46" s="11"/>
      <c r="BA46" s="11"/>
      <c r="BB46" s="23"/>
      <c r="BC46" s="11"/>
      <c r="BD46" s="11"/>
      <c r="BE46" s="23"/>
      <c r="BF46" s="11"/>
      <c r="BG46" s="11"/>
      <c r="BH46" s="23"/>
      <c r="BI46" s="11"/>
      <c r="BJ46" s="11"/>
      <c r="BK46" s="11"/>
      <c r="BL46" s="23"/>
      <c r="BM46" s="11"/>
      <c r="BN46" s="11"/>
      <c r="BO46" s="23"/>
      <c r="BP46" s="11"/>
      <c r="BQ46" s="11"/>
      <c r="BR46" s="23"/>
      <c r="BS46" s="11"/>
      <c r="BT46" s="11"/>
      <c r="BU46" s="23"/>
      <c r="BV46" s="11"/>
      <c r="BW46" s="152"/>
      <c r="BX46" s="11"/>
      <c r="BY46" s="23"/>
      <c r="BZ46" s="11"/>
      <c r="CA46" s="11"/>
      <c r="CB46" s="23"/>
      <c r="CC46" s="11"/>
      <c r="CD46" s="11"/>
      <c r="CE46" s="23"/>
      <c r="CF46" s="11"/>
      <c r="CG46" s="11"/>
      <c r="CH46" s="23"/>
      <c r="CI46" s="11"/>
      <c r="CJ46" s="152"/>
      <c r="CK46" s="11"/>
      <c r="CL46" s="23"/>
      <c r="CM46" s="11"/>
      <c r="CN46" s="11"/>
      <c r="CO46" s="23"/>
      <c r="CP46" s="11"/>
      <c r="CQ46" s="11"/>
      <c r="CR46" s="23"/>
      <c r="CS46" s="11"/>
      <c r="CT46" s="11"/>
      <c r="CU46" s="23"/>
      <c r="CV46" s="11"/>
      <c r="CW46" s="11"/>
      <c r="CX46" s="11"/>
      <c r="CY46" s="11"/>
      <c r="CZ46" s="11"/>
      <c r="DA46" s="23"/>
      <c r="DB46" s="11"/>
      <c r="DC46" s="23"/>
      <c r="DD46" s="11"/>
      <c r="DE46" s="11"/>
      <c r="DF46" s="11"/>
      <c r="DG46" s="11"/>
      <c r="DH46" s="23"/>
      <c r="DI46" s="11"/>
      <c r="DJ46" s="11"/>
      <c r="DK46" s="11"/>
      <c r="DL46" s="153"/>
    </row>
    <row r="47" ht="15" customHeight="1">
      <c r="A47" s="146"/>
      <c r="B47" s="23"/>
      <c r="C47" s="154">
        <v>100</v>
      </c>
      <c r="D47" s="154">
        <v>150</v>
      </c>
      <c r="E47" s="23"/>
      <c r="F47" s="23"/>
      <c r="G47" s="23"/>
      <c r="H47" s="23"/>
      <c r="I47" s="23"/>
      <c r="J47" s="23"/>
      <c r="K47" s="23"/>
      <c r="L47" s="23"/>
      <c r="M47" s="23"/>
      <c r="N47" s="23"/>
      <c r="O47" s="23"/>
      <c r="P47" s="23"/>
      <c r="Q47" s="23"/>
      <c r="R47" s="23"/>
      <c r="S47" s="23"/>
      <c r="T47" s="23"/>
      <c r="U47" s="11"/>
      <c r="V47" s="11"/>
      <c r="W47" s="23"/>
      <c r="X47" s="154">
        <v>3</v>
      </c>
      <c r="Y47" s="155">
        <f>N47+O47+P47+Q47+S47+T47+U47+V47+W47+X47+R47</f>
        <v>3</v>
      </c>
      <c r="Z47" s="23"/>
      <c r="AA47" s="23"/>
      <c r="AB47" s="23"/>
      <c r="AC47" s="23"/>
      <c r="AD47" s="23"/>
      <c r="AE47" s="23"/>
      <c r="AF47" s="23"/>
      <c r="AG47" s="23"/>
      <c r="AH47" s="23"/>
      <c r="AI47" s="23"/>
      <c r="AJ47" s="23"/>
      <c r="AK47" s="23"/>
      <c r="AL47" s="24"/>
      <c r="AM47" s="24"/>
      <c r="AN47" s="24"/>
      <c r="AO47" s="24"/>
      <c r="AP47" s="24"/>
      <c r="AQ47" s="24"/>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156"/>
    </row>
    <row r="48" ht="15" customHeight="1">
      <c r="A48" s="85"/>
      <c r="B48" s="88"/>
      <c r="C48" s="88"/>
      <c r="D48" s="157">
        <v>130</v>
      </c>
      <c r="E48" s="88"/>
      <c r="F48" s="88"/>
      <c r="G48" s="88"/>
      <c r="H48" s="88"/>
      <c r="I48" s="88"/>
      <c r="J48" s="88"/>
      <c r="K48" s="88"/>
      <c r="L48" s="88"/>
      <c r="M48" s="88"/>
      <c r="N48" s="88"/>
      <c r="O48" s="88"/>
      <c r="P48" s="88"/>
      <c r="Q48" s="88"/>
      <c r="R48" s="88"/>
      <c r="S48" s="88"/>
      <c r="T48" s="88"/>
      <c r="U48" s="88"/>
      <c r="V48" s="88"/>
      <c r="W48" s="88"/>
      <c r="X48" s="157">
        <v>3</v>
      </c>
      <c r="Y48" s="157">
        <f>N48+O48+P48+Q48+S48+T48+U48+V48+W48+X48</f>
        <v>3</v>
      </c>
      <c r="Z48" s="88"/>
      <c r="AA48" s="88"/>
      <c r="AB48" s="88"/>
      <c r="AC48" s="88"/>
      <c r="AD48" s="88"/>
      <c r="AE48" s="88"/>
      <c r="AF48" s="88"/>
      <c r="AG48" s="88"/>
      <c r="AH48" s="88"/>
      <c r="AI48" s="88"/>
      <c r="AJ48" s="24"/>
      <c r="AK48" s="60"/>
      <c r="AL48" t="s" s="36">
        <v>142</v>
      </c>
      <c r="AM48" t="s" s="36">
        <v>143</v>
      </c>
      <c r="AN48" t="s" s="36">
        <v>144</v>
      </c>
      <c r="AO48" t="s" s="36">
        <v>145</v>
      </c>
      <c r="AP48" t="s" s="36">
        <v>146</v>
      </c>
      <c r="AQ48" t="s" s="36">
        <v>147</v>
      </c>
      <c r="AR48" s="15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159"/>
    </row>
  </sheetData>
  <mergeCells count="22">
    <mergeCell ref="DJ3:DJ4"/>
    <mergeCell ref="DK3:DK4"/>
    <mergeCell ref="DL3:DL4"/>
    <mergeCell ref="DD2:DG2"/>
    <mergeCell ref="DI2:DL2"/>
    <mergeCell ref="DE3:DE4"/>
    <mergeCell ref="DF3:DF4"/>
    <mergeCell ref="DG3:DG4"/>
    <mergeCell ref="DI3:DI4"/>
    <mergeCell ref="DB3:DB4"/>
    <mergeCell ref="DD3:DD4"/>
    <mergeCell ref="AW3:BG3"/>
    <mergeCell ref="BJ3:BT3"/>
    <mergeCell ref="BW3:CG3"/>
    <mergeCell ref="CJ3:CT3"/>
    <mergeCell ref="CW3:CW4"/>
    <mergeCell ref="E1:AI1"/>
    <mergeCell ref="AL2:AT2"/>
    <mergeCell ref="CW2:CZ2"/>
    <mergeCell ref="CX3:CX4"/>
    <mergeCell ref="CY3:CY4"/>
    <mergeCell ref="CZ3:CZ4"/>
  </mergeCells>
  <pageMargins left="0.25" right="0.25"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DM64"/>
  <sheetViews>
    <sheetView workbookViewId="0" showGridLines="0" defaultGridColor="1"/>
  </sheetViews>
  <sheetFormatPr defaultColWidth="10.8333" defaultRowHeight="15" customHeight="1" outlineLevelRow="0" outlineLevelCol="0"/>
  <cols>
    <col min="1" max="1" width="10.8516" style="160" customWidth="1"/>
    <col min="2" max="2" width="4" style="160" customWidth="1"/>
    <col min="3" max="3" width="25.6719" style="160" customWidth="1"/>
    <col min="4" max="4" width="18.8516" style="160" customWidth="1"/>
    <col min="5" max="13" width="6.90625" style="160" customWidth="1"/>
    <col min="14" max="14" width="7.03906" style="160" customWidth="1"/>
    <col min="15" max="15" width="6.71875" style="160" customWidth="1"/>
    <col min="16" max="16" width="7.60938" style="160" customWidth="1"/>
    <col min="17" max="17" width="5.24219" style="160" customWidth="1"/>
    <col min="18" max="18" width="4.85156" style="160" customWidth="1"/>
    <col min="19" max="19" width="6.00781" style="160" customWidth="1"/>
    <col min="20" max="25" width="3" style="160" customWidth="1"/>
    <col min="26" max="32" width="4.22656" style="160" customWidth="1"/>
    <col min="33" max="34" width="5.39844" style="160" customWidth="1"/>
    <col min="35" max="37" width="3" style="160" customWidth="1"/>
    <col min="38" max="38" width="2.67188" style="160" customWidth="1"/>
    <col min="39" max="48" width="5.17188" style="160" customWidth="1"/>
    <col min="49" max="49" width="3.5" style="160" customWidth="1"/>
    <col min="50" max="50" width="5.67188" style="160" customWidth="1"/>
    <col min="51" max="51" width="5.5" style="160" customWidth="1"/>
    <col min="52" max="52" width="1.5" style="160" customWidth="1"/>
    <col min="53" max="54" width="5.35156" style="160" customWidth="1"/>
    <col min="55" max="55" width="1.5" style="160" customWidth="1"/>
    <col min="56" max="57" width="5.17188" style="160" customWidth="1"/>
    <col min="58" max="58" width="1.5" style="160" customWidth="1"/>
    <col min="59" max="61" width="4.5" style="160" customWidth="1"/>
    <col min="62" max="62" width="5" style="160" customWidth="1"/>
    <col min="63" max="63" width="5.67188" style="160" customWidth="1"/>
    <col min="64" max="64" width="5.5" style="160" customWidth="1"/>
    <col min="65" max="65" width="1.5" style="160" customWidth="1"/>
    <col min="66" max="67" width="5.35156" style="160" customWidth="1"/>
    <col min="68" max="68" width="1.5" style="160" customWidth="1"/>
    <col min="69" max="70" width="5.17188" style="160" customWidth="1"/>
    <col min="71" max="71" width="1.5" style="160" customWidth="1"/>
    <col min="72" max="75" width="4.5" style="160" customWidth="1"/>
    <col min="76" max="76" width="5.67188" style="160" customWidth="1"/>
    <col min="77" max="77" width="5.5" style="160" customWidth="1"/>
    <col min="78" max="78" width="1.5" style="160" customWidth="1"/>
    <col min="79" max="80" width="5.35156" style="160" customWidth="1"/>
    <col min="81" max="81" width="1.5" style="160" customWidth="1"/>
    <col min="82" max="83" width="5.17188" style="160" customWidth="1"/>
    <col min="84" max="84" width="1.5" style="160" customWidth="1"/>
    <col min="85" max="87" width="4.5" style="160" customWidth="1"/>
    <col min="88" max="88" width="4" style="160" customWidth="1"/>
    <col min="89" max="89" width="5.67188" style="160" customWidth="1"/>
    <col min="90" max="90" width="5.5" style="160" customWidth="1"/>
    <col min="91" max="91" width="1.5" style="160" customWidth="1"/>
    <col min="92" max="93" width="5.35156" style="160" customWidth="1"/>
    <col min="94" max="94" width="1.5" style="160" customWidth="1"/>
    <col min="95" max="96" width="5.17188" style="160" customWidth="1"/>
    <col min="97" max="97" width="1.5" style="160" customWidth="1"/>
    <col min="98" max="100" width="4.5" style="160" customWidth="1"/>
    <col min="101" max="101" width="4" style="160" customWidth="1"/>
    <col min="102" max="105" width="6.5" style="160" customWidth="1"/>
    <col min="106" max="106" width="5.17188" style="160" customWidth="1"/>
    <col min="107" max="107" width="5.67188" style="160" customWidth="1"/>
    <col min="108" max="108" width="2.5" style="160" customWidth="1"/>
    <col min="109" max="112" width="5.17188" style="160" customWidth="1"/>
    <col min="113" max="113" width="2.85156" style="160" customWidth="1"/>
    <col min="114" max="117" width="4.67188" style="160" customWidth="1"/>
    <col min="118" max="16384" width="10.8516" style="160" customWidth="1"/>
  </cols>
  <sheetData>
    <row r="1" ht="13.5" customHeight="1">
      <c r="A1" s="7"/>
      <c r="B1" s="8">
        <v>36</v>
      </c>
      <c r="C1" s="7"/>
      <c r="D1" s="7"/>
      <c r="E1" s="161"/>
      <c r="F1" s="161"/>
      <c r="G1" s="161"/>
      <c r="H1" s="161"/>
      <c r="I1" s="161"/>
      <c r="J1" s="161"/>
      <c r="K1" s="161"/>
      <c r="L1" s="161"/>
      <c r="M1" s="161"/>
      <c r="N1" s="161"/>
      <c r="O1" s="161"/>
      <c r="P1" s="161"/>
      <c r="Q1" s="161"/>
      <c r="R1" s="161"/>
      <c r="S1" s="161"/>
      <c r="T1" s="161"/>
      <c r="U1" s="161"/>
      <c r="V1" t="s" s="9">
        <v>6</v>
      </c>
      <c r="W1" s="10"/>
      <c r="X1" s="10"/>
      <c r="Y1" s="10"/>
      <c r="Z1" s="12"/>
      <c r="AA1" s="10"/>
      <c r="AB1" s="10"/>
      <c r="AC1" s="10"/>
      <c r="AD1" s="10"/>
      <c r="AE1" s="10"/>
      <c r="AF1" s="10"/>
      <c r="AG1" s="12"/>
      <c r="AH1" s="10"/>
      <c r="AI1" s="10"/>
      <c r="AJ1" s="10"/>
      <c r="AK1" s="10"/>
      <c r="AL1" s="11"/>
      <c r="AM1" s="12"/>
      <c r="AN1" s="12"/>
      <c r="AO1" s="12"/>
      <c r="AP1" s="12"/>
      <c r="AQ1" s="12"/>
      <c r="AR1" s="12"/>
      <c r="AS1" s="12"/>
      <c r="AT1" s="12"/>
      <c r="AU1" s="12"/>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2"/>
      <c r="CY1" s="12"/>
      <c r="CZ1" s="12"/>
      <c r="DA1" s="12"/>
      <c r="DB1" s="13"/>
      <c r="DC1" s="13"/>
      <c r="DD1" s="13"/>
      <c r="DE1" s="12"/>
      <c r="DF1" s="12"/>
      <c r="DG1" s="12"/>
      <c r="DH1" s="12"/>
      <c r="DI1" s="13"/>
      <c r="DJ1" s="12"/>
      <c r="DK1" s="12"/>
      <c r="DL1" s="12"/>
      <c r="DM1" s="14"/>
    </row>
    <row r="2" ht="26.25" customHeight="1">
      <c r="A2" s="7"/>
      <c r="B2" s="15"/>
      <c r="C2" s="7"/>
      <c r="D2" s="93"/>
      <c r="E2" s="75"/>
      <c r="F2" s="75"/>
      <c r="G2" s="75"/>
      <c r="H2" s="75"/>
      <c r="I2" s="75"/>
      <c r="J2" s="75"/>
      <c r="K2" s="75"/>
      <c r="L2" s="75"/>
      <c r="M2" s="75"/>
      <c r="N2" s="75"/>
      <c r="O2" s="75"/>
      <c r="P2" s="75"/>
      <c r="Q2" s="75"/>
      <c r="R2" s="75"/>
      <c r="S2" s="75"/>
      <c r="T2" s="75"/>
      <c r="U2" s="75"/>
      <c r="V2" s="79">
        <v>1</v>
      </c>
      <c r="W2" s="79">
        <v>2</v>
      </c>
      <c r="X2" s="79">
        <v>3</v>
      </c>
      <c r="Y2" s="79">
        <v>4</v>
      </c>
      <c r="Z2" s="75"/>
      <c r="AA2" s="79">
        <v>5</v>
      </c>
      <c r="AB2" s="79">
        <v>6</v>
      </c>
      <c r="AC2" s="79">
        <v>7</v>
      </c>
      <c r="AD2" s="79">
        <v>8</v>
      </c>
      <c r="AE2" s="79">
        <v>9</v>
      </c>
      <c r="AF2" s="79">
        <v>10</v>
      </c>
      <c r="AG2" s="75"/>
      <c r="AH2" s="79">
        <v>11</v>
      </c>
      <c r="AI2" s="79">
        <v>12</v>
      </c>
      <c r="AJ2" s="79">
        <v>13</v>
      </c>
      <c r="AK2" s="79">
        <v>14</v>
      </c>
      <c r="AL2" s="18"/>
      <c r="AM2" t="s" s="19">
        <v>7</v>
      </c>
      <c r="AN2" s="20"/>
      <c r="AO2" s="20"/>
      <c r="AP2" s="20"/>
      <c r="AQ2" s="20"/>
      <c r="AR2" s="20"/>
      <c r="AS2" s="20"/>
      <c r="AT2" s="20"/>
      <c r="AU2" s="21"/>
      <c r="AV2" s="22"/>
      <c r="AW2" s="23"/>
      <c r="AX2" s="24"/>
      <c r="AY2" s="24"/>
      <c r="AZ2" s="24"/>
      <c r="BA2" s="24"/>
      <c r="BB2" s="24"/>
      <c r="BC2" s="24"/>
      <c r="BD2" s="24"/>
      <c r="BE2" s="24"/>
      <c r="BF2" s="24"/>
      <c r="BG2" s="24"/>
      <c r="BH2" s="24"/>
      <c r="BI2" s="23"/>
      <c r="BJ2" s="23"/>
      <c r="BK2" s="24"/>
      <c r="BL2" s="24"/>
      <c r="BM2" s="24"/>
      <c r="BN2" s="24"/>
      <c r="BO2" s="24"/>
      <c r="BP2" s="24"/>
      <c r="BQ2" s="24"/>
      <c r="BR2" s="24"/>
      <c r="BS2" s="24"/>
      <c r="BT2" s="24"/>
      <c r="BU2" s="24"/>
      <c r="BV2" s="23"/>
      <c r="BW2" s="23"/>
      <c r="BX2" s="24"/>
      <c r="BY2" s="24"/>
      <c r="BZ2" s="24"/>
      <c r="CA2" s="24"/>
      <c r="CB2" s="24"/>
      <c r="CC2" s="24"/>
      <c r="CD2" s="24"/>
      <c r="CE2" s="24"/>
      <c r="CF2" s="24"/>
      <c r="CG2" s="24"/>
      <c r="CH2" s="24"/>
      <c r="CI2" s="23"/>
      <c r="CJ2" s="23"/>
      <c r="CK2" s="24"/>
      <c r="CL2" s="24"/>
      <c r="CM2" s="24"/>
      <c r="CN2" s="24"/>
      <c r="CO2" s="24"/>
      <c r="CP2" s="24"/>
      <c r="CQ2" s="24"/>
      <c r="CR2" s="24"/>
      <c r="CS2" s="24"/>
      <c r="CT2" s="24"/>
      <c r="CU2" s="24"/>
      <c r="CV2" s="23"/>
      <c r="CW2" s="25"/>
      <c r="CX2" t="s" s="26">
        <v>8</v>
      </c>
      <c r="CY2" s="27"/>
      <c r="CZ2" s="27"/>
      <c r="DA2" s="27"/>
      <c r="DB2" s="28"/>
      <c r="DC2" s="24"/>
      <c r="DD2" s="25"/>
      <c r="DE2" t="s" s="29">
        <v>9</v>
      </c>
      <c r="DF2" s="30"/>
      <c r="DG2" s="30"/>
      <c r="DH2" s="30"/>
      <c r="DI2" s="18"/>
      <c r="DJ2" t="s" s="29">
        <v>10</v>
      </c>
      <c r="DK2" s="30"/>
      <c r="DL2" s="30"/>
      <c r="DM2" s="30"/>
    </row>
    <row r="3" ht="64.5" customHeight="1">
      <c r="A3" s="31">
        <f>SUM(A4:A39)</f>
        <v>10</v>
      </c>
      <c r="B3" s="32"/>
      <c r="C3" t="s" s="96">
        <v>134</v>
      </c>
      <c r="D3" s="97"/>
      <c r="E3" s="35"/>
      <c r="F3" t="s" s="36">
        <v>39</v>
      </c>
      <c r="G3" s="35"/>
      <c r="H3" s="35"/>
      <c r="I3" s="35"/>
      <c r="J3" s="35"/>
      <c r="K3" s="35"/>
      <c r="L3" s="35"/>
      <c r="M3" t="s" s="36">
        <v>262</v>
      </c>
      <c r="N3" t="s" s="56">
        <v>263</v>
      </c>
      <c r="O3" t="s" s="36">
        <v>264</v>
      </c>
      <c r="P3" t="s" s="36">
        <v>265</v>
      </c>
      <c r="Q3" t="s" s="36">
        <v>266</v>
      </c>
      <c r="R3" s="35"/>
      <c r="S3" s="35"/>
      <c r="T3" s="35"/>
      <c r="U3" s="35"/>
      <c r="V3" s="35"/>
      <c r="W3" s="35"/>
      <c r="X3" s="100">
        <v>45959</v>
      </c>
      <c r="Y3" s="100">
        <v>45987</v>
      </c>
      <c r="Z3" s="35"/>
      <c r="AA3" s="108">
        <v>10</v>
      </c>
      <c r="AB3" s="108">
        <v>10</v>
      </c>
      <c r="AC3" s="108">
        <v>10</v>
      </c>
      <c r="AD3" s="108">
        <v>20</v>
      </c>
      <c r="AE3" s="108">
        <v>10</v>
      </c>
      <c r="AF3" s="79">
        <v>10</v>
      </c>
      <c r="AG3" s="35"/>
      <c r="AH3" s="35">
        <f>SUM(AA3:AF3)+AH3+AH3+AG3</f>
      </c>
      <c r="AI3" s="35"/>
      <c r="AJ3" s="35"/>
      <c r="AK3" s="35"/>
      <c r="AL3" s="18"/>
      <c r="AM3" t="s" s="36">
        <v>142</v>
      </c>
      <c r="AN3" t="s" s="36">
        <v>267</v>
      </c>
      <c r="AO3" t="s" s="36">
        <v>144</v>
      </c>
      <c r="AP3" t="s" s="36">
        <v>145</v>
      </c>
      <c r="AQ3" t="s" s="36">
        <v>146</v>
      </c>
      <c r="AR3" t="s" s="36">
        <v>147</v>
      </c>
      <c r="AS3" s="35"/>
      <c r="AT3" s="35"/>
      <c r="AU3" t="s" s="36">
        <v>12</v>
      </c>
      <c r="AV3" s="37"/>
      <c r="AW3" s="25"/>
      <c r="AX3" t="s" s="38">
        <v>13</v>
      </c>
      <c r="AY3" s="39"/>
      <c r="AZ3" s="39"/>
      <c r="BA3" s="39"/>
      <c r="BB3" s="39"/>
      <c r="BC3" s="39"/>
      <c r="BD3" s="39"/>
      <c r="BE3" s="39"/>
      <c r="BF3" s="39"/>
      <c r="BG3" s="39"/>
      <c r="BH3" s="40"/>
      <c r="BI3" s="28"/>
      <c r="BJ3" s="25"/>
      <c r="BK3" t="s" s="41">
        <v>14</v>
      </c>
      <c r="BL3" s="42"/>
      <c r="BM3" s="42"/>
      <c r="BN3" s="42"/>
      <c r="BO3" s="42"/>
      <c r="BP3" s="42"/>
      <c r="BQ3" s="42"/>
      <c r="BR3" s="42"/>
      <c r="BS3" s="42"/>
      <c r="BT3" s="42"/>
      <c r="BU3" s="43"/>
      <c r="BV3" s="44"/>
      <c r="BW3" s="25"/>
      <c r="BX3" t="s" s="45">
        <v>15</v>
      </c>
      <c r="BY3" s="46"/>
      <c r="BZ3" s="46"/>
      <c r="CA3" s="46"/>
      <c r="CB3" s="46"/>
      <c r="CC3" s="46"/>
      <c r="CD3" s="46"/>
      <c r="CE3" s="46"/>
      <c r="CF3" s="46"/>
      <c r="CG3" s="46"/>
      <c r="CH3" s="47"/>
      <c r="CI3" s="44"/>
      <c r="CJ3" s="25"/>
      <c r="CK3" t="s" s="48">
        <v>16</v>
      </c>
      <c r="CL3" s="49"/>
      <c r="CM3" s="49"/>
      <c r="CN3" s="49"/>
      <c r="CO3" s="49"/>
      <c r="CP3" s="49"/>
      <c r="CQ3" s="49"/>
      <c r="CR3" s="49"/>
      <c r="CS3" s="49"/>
      <c r="CT3" s="49"/>
      <c r="CU3" s="50"/>
      <c r="CV3" s="44"/>
      <c r="CW3" s="25"/>
      <c r="CX3" t="s" s="51">
        <v>17</v>
      </c>
      <c r="CY3" t="s" s="51">
        <v>18</v>
      </c>
      <c r="CZ3" t="s" s="51">
        <v>19</v>
      </c>
      <c r="DA3" t="s" s="51">
        <v>20</v>
      </c>
      <c r="DB3" s="18"/>
      <c r="DC3" t="s" s="52">
        <v>21</v>
      </c>
      <c r="DD3" s="18"/>
      <c r="DE3" t="s" s="53">
        <v>22</v>
      </c>
      <c r="DF3" t="s" s="53">
        <v>23</v>
      </c>
      <c r="DG3" t="s" s="53">
        <v>24</v>
      </c>
      <c r="DH3" t="s" s="53">
        <v>25</v>
      </c>
      <c r="DI3" s="18"/>
      <c r="DJ3" t="s" s="53">
        <v>26</v>
      </c>
      <c r="DK3" t="s" s="53">
        <v>27</v>
      </c>
      <c r="DL3" t="s" s="53">
        <v>28</v>
      </c>
      <c r="DM3" t="s" s="53">
        <v>29</v>
      </c>
    </row>
    <row r="4" ht="13.5" customHeight="1">
      <c r="A4" s="105"/>
      <c r="B4" t="s" s="101">
        <v>30</v>
      </c>
      <c r="C4" t="s" s="102">
        <v>31</v>
      </c>
      <c r="D4" t="s" s="54">
        <v>32</v>
      </c>
      <c r="E4" t="s" s="57">
        <v>268</v>
      </c>
      <c r="F4" t="s" s="56">
        <v>269</v>
      </c>
      <c r="G4" s="56"/>
      <c r="H4" t="s" s="56">
        <v>270</v>
      </c>
      <c r="I4" t="s" s="56">
        <v>137</v>
      </c>
      <c r="J4" t="s" s="56">
        <v>271</v>
      </c>
      <c r="K4" t="s" s="56">
        <v>272</v>
      </c>
      <c r="L4" t="s" s="56">
        <v>273</v>
      </c>
      <c r="M4" t="s" s="56">
        <v>274</v>
      </c>
      <c r="N4" s="79">
        <v>10</v>
      </c>
      <c r="O4" t="s" s="56">
        <v>274</v>
      </c>
      <c r="P4" t="s" s="56">
        <v>274</v>
      </c>
      <c r="Q4" t="s" s="56">
        <v>275</v>
      </c>
      <c r="R4" t="s" s="56">
        <v>276</v>
      </c>
      <c r="S4" s="56"/>
      <c r="T4" s="56"/>
      <c r="U4" s="56"/>
      <c r="V4" s="56"/>
      <c r="W4" s="57"/>
      <c r="X4" s="56"/>
      <c r="Y4" s="57"/>
      <c r="Z4" s="56"/>
      <c r="AA4" t="s" s="56">
        <v>142</v>
      </c>
      <c r="AB4" t="s" s="57">
        <v>137</v>
      </c>
      <c r="AC4" t="s" s="61">
        <v>138</v>
      </c>
      <c r="AD4" t="s" s="61">
        <v>277</v>
      </c>
      <c r="AE4" t="s" s="61">
        <v>278</v>
      </c>
      <c r="AF4" t="s" s="36">
        <v>279</v>
      </c>
      <c r="AG4" s="79">
        <v>30</v>
      </c>
      <c r="AH4" s="79">
        <f>SUM(AA4:AF4)</f>
        <v>0</v>
      </c>
      <c r="AI4" s="58"/>
      <c r="AJ4" s="58"/>
      <c r="AK4" s="58"/>
      <c r="AL4" s="59"/>
      <c r="AM4" s="77">
        <v>10</v>
      </c>
      <c r="AN4" s="77">
        <v>20</v>
      </c>
      <c r="AO4" s="77">
        <v>20</v>
      </c>
      <c r="AP4" s="77">
        <v>10</v>
      </c>
      <c r="AQ4" s="77">
        <v>15</v>
      </c>
      <c r="AR4" s="77">
        <v>15</v>
      </c>
      <c r="AS4" s="77">
        <v>10</v>
      </c>
      <c r="AT4" s="77">
        <v>3</v>
      </c>
      <c r="AU4" s="77">
        <f>SUM(AM4:AT4)</f>
        <v>103</v>
      </c>
      <c r="AV4" s="28"/>
      <c r="AW4" s="60"/>
      <c r="AX4" t="s" s="61">
        <v>33</v>
      </c>
      <c r="AY4" t="s" s="62">
        <v>34</v>
      </c>
      <c r="AZ4" s="63"/>
      <c r="BA4" t="s" s="61">
        <v>35</v>
      </c>
      <c r="BB4" t="s" s="62">
        <v>36</v>
      </c>
      <c r="BC4" s="63"/>
      <c r="BD4" t="s" s="61">
        <v>37</v>
      </c>
      <c r="BE4" t="s" s="62">
        <v>38</v>
      </c>
      <c r="BF4" s="63"/>
      <c r="BG4" t="s" s="61">
        <v>39</v>
      </c>
      <c r="BH4" t="s" s="62">
        <v>40</v>
      </c>
      <c r="BI4" s="28"/>
      <c r="BJ4" s="60"/>
      <c r="BK4" t="s" s="61">
        <v>33</v>
      </c>
      <c r="BL4" t="s" s="62">
        <v>34</v>
      </c>
      <c r="BM4" s="63"/>
      <c r="BN4" t="s" s="61">
        <v>35</v>
      </c>
      <c r="BO4" t="s" s="62">
        <v>36</v>
      </c>
      <c r="BP4" s="63"/>
      <c r="BQ4" t="s" s="61">
        <v>37</v>
      </c>
      <c r="BR4" t="s" s="62">
        <v>38</v>
      </c>
      <c r="BS4" s="63"/>
      <c r="BT4" t="s" s="61">
        <v>39</v>
      </c>
      <c r="BU4" t="s" s="62">
        <v>40</v>
      </c>
      <c r="BV4" s="28"/>
      <c r="BW4" s="60"/>
      <c r="BX4" t="s" s="61">
        <v>33</v>
      </c>
      <c r="BY4" t="s" s="62">
        <v>34</v>
      </c>
      <c r="BZ4" s="63"/>
      <c r="CA4" t="s" s="61">
        <v>35</v>
      </c>
      <c r="CB4" t="s" s="62">
        <v>36</v>
      </c>
      <c r="CC4" s="63"/>
      <c r="CD4" t="s" s="61">
        <v>37</v>
      </c>
      <c r="CE4" t="s" s="62">
        <v>38</v>
      </c>
      <c r="CF4" s="63"/>
      <c r="CG4" t="s" s="61">
        <v>39</v>
      </c>
      <c r="CH4" t="s" s="62">
        <v>40</v>
      </c>
      <c r="CI4" s="28"/>
      <c r="CJ4" s="60"/>
      <c r="CK4" t="s" s="61">
        <v>33</v>
      </c>
      <c r="CL4" t="s" s="62">
        <v>34</v>
      </c>
      <c r="CM4" s="63"/>
      <c r="CN4" t="s" s="61">
        <v>35</v>
      </c>
      <c r="CO4" t="s" s="62">
        <v>36</v>
      </c>
      <c r="CP4" s="63"/>
      <c r="CQ4" t="s" s="61">
        <v>37</v>
      </c>
      <c r="CR4" t="s" s="62">
        <v>38</v>
      </c>
      <c r="CS4" s="63"/>
      <c r="CT4" t="s" s="61">
        <v>39</v>
      </c>
      <c r="CU4" t="s" s="62">
        <v>40</v>
      </c>
      <c r="CV4" s="64"/>
      <c r="CW4" s="60"/>
      <c r="CX4" s="65"/>
      <c r="CY4" s="65"/>
      <c r="CZ4" s="65"/>
      <c r="DA4" s="65"/>
      <c r="DB4" s="18"/>
      <c r="DC4" s="66"/>
      <c r="DD4" s="18"/>
      <c r="DE4" s="67"/>
      <c r="DF4" s="67"/>
      <c r="DG4" s="67"/>
      <c r="DH4" s="67"/>
      <c r="DI4" s="18"/>
      <c r="DJ4" s="67"/>
      <c r="DK4" s="67"/>
      <c r="DL4" s="67"/>
      <c r="DM4" s="67"/>
    </row>
    <row r="5" ht="13.5" customHeight="1">
      <c r="A5" s="105"/>
      <c r="B5" s="106">
        <v>1</v>
      </c>
      <c r="C5" t="s" s="70">
        <v>280</v>
      </c>
      <c r="D5" t="s" s="162">
        <v>281</v>
      </c>
      <c r="E5" t="s" s="107">
        <v>161</v>
      </c>
      <c r="F5" t="s" s="83">
        <v>43</v>
      </c>
      <c r="G5" s="75"/>
      <c r="H5" s="79">
        <v>8</v>
      </c>
      <c r="I5" s="79">
        <v>10</v>
      </c>
      <c r="J5" s="79">
        <v>10</v>
      </c>
      <c r="K5" s="75"/>
      <c r="L5" s="75"/>
      <c r="M5" s="79">
        <v>10</v>
      </c>
      <c r="N5" s="79">
        <v>10</v>
      </c>
      <c r="O5" s="79">
        <v>8</v>
      </c>
      <c r="P5" s="79">
        <v>8</v>
      </c>
      <c r="Q5" s="79">
        <v>5</v>
      </c>
      <c r="R5" s="79">
        <v>5</v>
      </c>
      <c r="S5" s="79">
        <f>R5+Q5+P5+O5+N5+M5+L5+K5+J5+I5+H5</f>
        <v>74</v>
      </c>
      <c r="T5" s="75"/>
      <c r="U5" s="75"/>
      <c r="V5" t="s" s="72">
        <v>43</v>
      </c>
      <c r="W5" t="s" s="107">
        <v>161</v>
      </c>
      <c r="X5" t="s" s="72">
        <v>43</v>
      </c>
      <c r="Y5" t="s" s="107">
        <v>43</v>
      </c>
      <c r="Z5" s="75"/>
      <c r="AA5" s="163">
        <v>8</v>
      </c>
      <c r="AB5" s="164">
        <v>10</v>
      </c>
      <c r="AC5" s="79">
        <v>10</v>
      </c>
      <c r="AD5" s="110">
        <v>20</v>
      </c>
      <c r="AE5" s="79">
        <v>10</v>
      </c>
      <c r="AF5" s="110">
        <v>10</v>
      </c>
      <c r="AG5" s="79">
        <v>30</v>
      </c>
      <c r="AH5" s="108">
        <f>SUM(AA5:AF5)+AG5</f>
        <v>98</v>
      </c>
      <c r="AI5" s="76"/>
      <c r="AJ5" s="75"/>
      <c r="AK5" t="s" s="130">
        <v>282</v>
      </c>
      <c r="AL5" s="112">
        <v>1</v>
      </c>
      <c r="AM5" s="110">
        <v>8</v>
      </c>
      <c r="AN5" s="79">
        <v>17</v>
      </c>
      <c r="AO5" s="110">
        <v>20</v>
      </c>
      <c r="AP5" s="79">
        <v>0</v>
      </c>
      <c r="AQ5" s="79">
        <v>13</v>
      </c>
      <c r="AR5" s="110">
        <v>14</v>
      </c>
      <c r="AS5" s="79">
        <v>10</v>
      </c>
      <c r="AT5" s="77">
        <v>3</v>
      </c>
      <c r="AU5" s="77">
        <f>SUM(AM5:AT5)</f>
        <v>85</v>
      </c>
      <c r="AV5" s="18"/>
      <c r="AW5" s="78">
        <v>1</v>
      </c>
      <c r="AX5" s="110">
        <f>AU5+0</f>
        <v>85</v>
      </c>
      <c r="AY5" s="75"/>
      <c r="AZ5" s="18"/>
      <c r="BA5" s="110">
        <f>AH5</f>
        <v>98</v>
      </c>
      <c r="BB5" s="75"/>
      <c r="BC5" s="18"/>
      <c r="BD5" s="110">
        <f>S5</f>
        <v>74</v>
      </c>
      <c r="BE5" s="75"/>
      <c r="BF5" s="18"/>
      <c r="BG5" s="76"/>
      <c r="BH5" s="75"/>
      <c r="BI5" s="18"/>
      <c r="BJ5" s="78">
        <v>1</v>
      </c>
      <c r="BK5" s="110">
        <f>AU5-1</f>
        <v>84</v>
      </c>
      <c r="BL5" s="75"/>
      <c r="BM5" s="18"/>
      <c r="BN5" s="110">
        <f>AH5-1</f>
        <v>97</v>
      </c>
      <c r="BO5" s="75"/>
      <c r="BP5" s="18"/>
      <c r="BQ5" s="110">
        <f>S5-1</f>
        <v>73</v>
      </c>
      <c r="BR5" s="75"/>
      <c r="BS5" s="18"/>
      <c r="BT5" s="76"/>
      <c r="BU5" s="75"/>
      <c r="BV5" s="18"/>
      <c r="BW5" s="78">
        <v>1</v>
      </c>
      <c r="BX5" s="110">
        <f>AU5+2</f>
        <v>87</v>
      </c>
      <c r="BY5" s="75"/>
      <c r="BZ5" s="18"/>
      <c r="CA5" s="110">
        <f>AH5+2</f>
        <v>100</v>
      </c>
      <c r="CB5" s="75"/>
      <c r="CC5" s="18"/>
      <c r="CD5" s="110">
        <f>S5+2</f>
        <v>76</v>
      </c>
      <c r="CE5" s="75"/>
      <c r="CF5" s="18"/>
      <c r="CG5" s="76"/>
      <c r="CH5" s="75"/>
      <c r="CI5" s="18"/>
      <c r="CJ5" s="78">
        <v>1</v>
      </c>
      <c r="CK5" s="110">
        <f>AU5+1</f>
        <v>86</v>
      </c>
      <c r="CL5" s="75"/>
      <c r="CM5" s="18"/>
      <c r="CN5" s="110">
        <f>AH5+1</f>
        <v>99</v>
      </c>
      <c r="CO5" s="75"/>
      <c r="CP5" s="18"/>
      <c r="CQ5" s="110">
        <f>S5+1</f>
        <v>75</v>
      </c>
      <c r="CR5" s="75"/>
      <c r="CS5" s="18"/>
      <c r="CT5" s="76"/>
      <c r="CU5" s="75"/>
      <c r="CV5" s="18"/>
      <c r="CW5" s="78">
        <v>1</v>
      </c>
      <c r="CX5" s="79">
        <f>(AX5+BA5+BD5+BG5)/4</f>
        <v>64.25</v>
      </c>
      <c r="CY5" s="79">
        <f>(BK5+BN5+BQ5+BT5)/4</f>
        <v>63.5</v>
      </c>
      <c r="CZ5" s="79">
        <f>(BX5+CA5+CD5+CG5)/4</f>
        <v>65.75</v>
      </c>
      <c r="DA5" s="79">
        <f>(CK5+CN5+CQ5+CT5)/4</f>
        <v>65</v>
      </c>
      <c r="DB5" s="18"/>
      <c r="DC5" s="80">
        <f>SUM(CX5:DA5)/4</f>
        <v>64.625</v>
      </c>
      <c r="DD5" s="18"/>
      <c r="DE5" s="79">
        <f>DC5*0.5</f>
        <v>32.3125</v>
      </c>
      <c r="DF5" s="75"/>
      <c r="DG5" s="79">
        <f>DF5*0.5</f>
        <v>0</v>
      </c>
      <c r="DH5" s="81">
        <f>DG5+DE5</f>
        <v>32.3125</v>
      </c>
      <c r="DI5" s="18"/>
      <c r="DJ5" s="79">
        <f>DC5*0.3</f>
        <v>19.3875</v>
      </c>
      <c r="DK5" s="75"/>
      <c r="DL5" s="79">
        <f>DK5*0.7</f>
        <v>0</v>
      </c>
      <c r="DM5" s="81">
        <f>DL5+DJ5</f>
        <v>19.3875</v>
      </c>
    </row>
    <row r="6" ht="13.5" customHeight="1">
      <c r="A6" s="105"/>
      <c r="B6" s="106">
        <v>2</v>
      </c>
      <c r="C6" t="s" s="70">
        <v>283</v>
      </c>
      <c r="D6" t="s" s="162">
        <v>284</v>
      </c>
      <c r="E6" t="s" s="113">
        <v>43</v>
      </c>
      <c r="F6" t="s" s="83">
        <v>43</v>
      </c>
      <c r="G6" s="75"/>
      <c r="H6" s="79">
        <v>10</v>
      </c>
      <c r="I6" s="79">
        <v>8</v>
      </c>
      <c r="J6" s="79">
        <v>9</v>
      </c>
      <c r="K6" s="75"/>
      <c r="L6" s="75"/>
      <c r="M6" s="79">
        <v>0</v>
      </c>
      <c r="N6" s="79">
        <v>0</v>
      </c>
      <c r="O6" s="79">
        <v>0</v>
      </c>
      <c r="P6" s="79">
        <v>0</v>
      </c>
      <c r="Q6" s="79">
        <v>0</v>
      </c>
      <c r="R6" s="79">
        <v>5</v>
      </c>
      <c r="S6" s="79">
        <f>R6+Q6+P6+O6+N6+M6+L6+K6+J6+I6+H6</f>
        <v>32</v>
      </c>
      <c r="T6" s="75"/>
      <c r="U6" s="75"/>
      <c r="V6" t="s" s="72">
        <v>43</v>
      </c>
      <c r="W6" t="s" s="113">
        <v>161</v>
      </c>
      <c r="X6" t="s" s="72">
        <v>43</v>
      </c>
      <c r="Y6" t="s" s="113">
        <v>43</v>
      </c>
      <c r="Z6" s="75"/>
      <c r="AA6" s="163">
        <v>8</v>
      </c>
      <c r="AB6" s="165">
        <v>8</v>
      </c>
      <c r="AC6" s="79">
        <v>9</v>
      </c>
      <c r="AD6" s="110">
        <v>0</v>
      </c>
      <c r="AE6" s="79">
        <v>0</v>
      </c>
      <c r="AF6" s="110">
        <v>5</v>
      </c>
      <c r="AG6" s="79">
        <v>30</v>
      </c>
      <c r="AH6" s="108">
        <f>SUM(AA6:AF6)+AG6</f>
        <v>60</v>
      </c>
      <c r="AI6" s="76"/>
      <c r="AJ6" s="75"/>
      <c r="AK6" s="76"/>
      <c r="AL6" s="112">
        <v>2</v>
      </c>
      <c r="AM6" s="110">
        <v>8</v>
      </c>
      <c r="AN6" s="79">
        <v>0</v>
      </c>
      <c r="AO6" s="110">
        <v>20</v>
      </c>
      <c r="AP6" s="79">
        <v>0</v>
      </c>
      <c r="AQ6" s="75"/>
      <c r="AR6" s="110">
        <v>14</v>
      </c>
      <c r="AS6" s="79">
        <v>10</v>
      </c>
      <c r="AT6" s="77">
        <v>3</v>
      </c>
      <c r="AU6" s="77">
        <f>SUM(AM6:AT6)</f>
        <v>55</v>
      </c>
      <c r="AV6" s="18"/>
      <c r="AW6" s="78">
        <v>2</v>
      </c>
      <c r="AX6" s="110">
        <f>AU6+0</f>
        <v>55</v>
      </c>
      <c r="AY6" s="79">
        <v>60</v>
      </c>
      <c r="AZ6" s="18"/>
      <c r="BA6" s="110">
        <f>AH6</f>
        <v>60</v>
      </c>
      <c r="BB6" s="79">
        <v>60</v>
      </c>
      <c r="BC6" s="18"/>
      <c r="BD6" s="110">
        <f>S6</f>
        <v>32</v>
      </c>
      <c r="BE6" s="75"/>
      <c r="BF6" s="18"/>
      <c r="BG6" s="76"/>
      <c r="BH6" s="75"/>
      <c r="BI6" s="18"/>
      <c r="BJ6" s="78">
        <v>2</v>
      </c>
      <c r="BK6" s="110">
        <f>AU6-1</f>
        <v>54</v>
      </c>
      <c r="BL6" s="79">
        <v>60</v>
      </c>
      <c r="BM6" s="18"/>
      <c r="BN6" s="110">
        <f>AH6-1</f>
        <v>59</v>
      </c>
      <c r="BO6" s="79">
        <v>60</v>
      </c>
      <c r="BP6" s="18"/>
      <c r="BQ6" s="110">
        <f>S6-1</f>
        <v>31</v>
      </c>
      <c r="BR6" s="75"/>
      <c r="BS6" s="18"/>
      <c r="BT6" s="76"/>
      <c r="BU6" s="75"/>
      <c r="BV6" s="18"/>
      <c r="BW6" s="78">
        <v>2</v>
      </c>
      <c r="BX6" s="110">
        <f>AU6+2</f>
        <v>57</v>
      </c>
      <c r="BY6" s="79">
        <v>60</v>
      </c>
      <c r="BZ6" s="18"/>
      <c r="CA6" s="110">
        <f>AH6+2</f>
        <v>62</v>
      </c>
      <c r="CB6" s="79">
        <v>60</v>
      </c>
      <c r="CC6" s="18"/>
      <c r="CD6" s="110">
        <f>S6+2</f>
        <v>34</v>
      </c>
      <c r="CE6" s="75"/>
      <c r="CF6" s="18"/>
      <c r="CG6" s="76"/>
      <c r="CH6" s="75"/>
      <c r="CI6" s="18"/>
      <c r="CJ6" s="78">
        <v>2</v>
      </c>
      <c r="CK6" s="110">
        <f>AU6+1</f>
        <v>56</v>
      </c>
      <c r="CL6" s="79">
        <v>60</v>
      </c>
      <c r="CM6" s="18"/>
      <c r="CN6" s="110">
        <f>AH6+1</f>
        <v>61</v>
      </c>
      <c r="CO6" s="79">
        <v>60</v>
      </c>
      <c r="CP6" s="18"/>
      <c r="CQ6" s="110">
        <f>S6+1</f>
        <v>33</v>
      </c>
      <c r="CR6" s="75"/>
      <c r="CS6" s="18"/>
      <c r="CT6" s="76"/>
      <c r="CU6" s="75"/>
      <c r="CV6" s="18"/>
      <c r="CW6" s="78">
        <v>2</v>
      </c>
      <c r="CX6" s="79">
        <f>(AX6+BA6+BD6+BG6)/4</f>
        <v>36.75</v>
      </c>
      <c r="CY6" s="79">
        <f>(BK6+BN6+BQ6+BT6)/4</f>
        <v>36</v>
      </c>
      <c r="CZ6" s="79">
        <f>(BX6+CA6+CD6+CG6)/4</f>
        <v>38.25</v>
      </c>
      <c r="DA6" s="79">
        <f>(CK6+CN6+CQ6+CT6)/4</f>
        <v>37.5</v>
      </c>
      <c r="DB6" s="18"/>
      <c r="DC6" s="80">
        <f>SUM(CX6:DA6)/4</f>
        <v>37.125</v>
      </c>
      <c r="DD6" s="18"/>
      <c r="DE6" s="79">
        <f>DC6*0.5</f>
        <v>18.5625</v>
      </c>
      <c r="DF6" s="75"/>
      <c r="DG6" s="79">
        <f>DF6*0.5</f>
        <v>0</v>
      </c>
      <c r="DH6" s="81">
        <f>DG6+DE6</f>
        <v>18.5625</v>
      </c>
      <c r="DI6" s="18"/>
      <c r="DJ6" s="79">
        <f>DC6*0.3</f>
        <v>11.1375</v>
      </c>
      <c r="DK6" s="75"/>
      <c r="DL6" s="79">
        <f>DK6*0.7</f>
        <v>0</v>
      </c>
      <c r="DM6" s="81">
        <f>DL6+DJ6</f>
        <v>11.1375</v>
      </c>
    </row>
    <row r="7" ht="13.5" customHeight="1">
      <c r="A7" s="105"/>
      <c r="B7" s="106">
        <v>3</v>
      </c>
      <c r="C7" t="s" s="70">
        <v>285</v>
      </c>
      <c r="D7" t="s" s="162">
        <v>286</v>
      </c>
      <c r="E7" t="s" s="113">
        <v>43</v>
      </c>
      <c r="F7" t="s" s="83">
        <v>43</v>
      </c>
      <c r="G7" s="75"/>
      <c r="H7" s="79">
        <v>10</v>
      </c>
      <c r="I7" s="79">
        <v>7</v>
      </c>
      <c r="J7" s="79">
        <v>7</v>
      </c>
      <c r="K7" s="79">
        <v>10</v>
      </c>
      <c r="L7" s="79">
        <v>4</v>
      </c>
      <c r="M7" s="79">
        <v>5</v>
      </c>
      <c r="N7" s="79">
        <v>6</v>
      </c>
      <c r="O7" s="79">
        <v>7</v>
      </c>
      <c r="P7" s="79">
        <v>5</v>
      </c>
      <c r="Q7" s="79">
        <v>2</v>
      </c>
      <c r="R7" s="79">
        <v>10</v>
      </c>
      <c r="S7" s="79">
        <f>R7+Q7+P7+O7+N7+M7+L7+K7+J7+I7+H7</f>
        <v>73</v>
      </c>
      <c r="T7" s="75"/>
      <c r="U7" s="75"/>
      <c r="V7" t="s" s="72">
        <v>43</v>
      </c>
      <c r="W7" t="s" s="113">
        <v>161</v>
      </c>
      <c r="X7" t="s" s="72">
        <v>43</v>
      </c>
      <c r="Y7" t="s" s="113">
        <v>43</v>
      </c>
      <c r="Z7" s="75"/>
      <c r="AA7" s="163">
        <v>8</v>
      </c>
      <c r="AB7" s="165">
        <v>8</v>
      </c>
      <c r="AC7" s="79">
        <v>9</v>
      </c>
      <c r="AD7" s="110">
        <v>20</v>
      </c>
      <c r="AE7" s="79">
        <v>5</v>
      </c>
      <c r="AF7" s="110">
        <v>5</v>
      </c>
      <c r="AG7" s="79">
        <v>30</v>
      </c>
      <c r="AH7" s="108">
        <f>SUM(AA7:AF7)+AG7</f>
        <v>85</v>
      </c>
      <c r="AI7" s="76"/>
      <c r="AJ7" s="75"/>
      <c r="AK7" s="76"/>
      <c r="AL7" s="112">
        <v>3</v>
      </c>
      <c r="AM7" s="110">
        <v>8</v>
      </c>
      <c r="AN7" s="79">
        <v>15</v>
      </c>
      <c r="AO7" s="110">
        <v>20</v>
      </c>
      <c r="AP7" s="79">
        <v>0</v>
      </c>
      <c r="AQ7" s="79">
        <v>5</v>
      </c>
      <c r="AR7" s="110">
        <v>14</v>
      </c>
      <c r="AS7" s="79">
        <v>10</v>
      </c>
      <c r="AT7" s="77">
        <v>3</v>
      </c>
      <c r="AU7" s="77">
        <f>SUM(AM7:AT7)</f>
        <v>75</v>
      </c>
      <c r="AV7" s="109"/>
      <c r="AW7" s="78">
        <v>3</v>
      </c>
      <c r="AX7" s="110">
        <f>AU7+0</f>
        <v>75</v>
      </c>
      <c r="AY7" s="75"/>
      <c r="AZ7" s="18"/>
      <c r="BA7" s="110">
        <f>AH7</f>
        <v>85</v>
      </c>
      <c r="BB7" s="75"/>
      <c r="BC7" s="18"/>
      <c r="BD7" s="110">
        <f>S7</f>
        <v>73</v>
      </c>
      <c r="BE7" s="75"/>
      <c r="BF7" s="18"/>
      <c r="BG7" s="76"/>
      <c r="BH7" s="75"/>
      <c r="BI7" s="18"/>
      <c r="BJ7" s="78">
        <v>3</v>
      </c>
      <c r="BK7" s="110">
        <v>75</v>
      </c>
      <c r="BL7" s="75"/>
      <c r="BM7" s="18"/>
      <c r="BN7" s="110">
        <f>AH7-1</f>
        <v>84</v>
      </c>
      <c r="BO7" s="75"/>
      <c r="BP7" s="18"/>
      <c r="BQ7" s="110">
        <f>S7-1</f>
        <v>72</v>
      </c>
      <c r="BR7" s="75"/>
      <c r="BS7" s="18"/>
      <c r="BT7" s="76"/>
      <c r="BU7" s="75"/>
      <c r="BV7" s="18"/>
      <c r="BW7" s="78">
        <v>3</v>
      </c>
      <c r="BX7" s="110">
        <f>AU7+2</f>
        <v>77</v>
      </c>
      <c r="BY7" s="75"/>
      <c r="BZ7" s="18"/>
      <c r="CA7" s="110">
        <f>AH7+2</f>
        <v>87</v>
      </c>
      <c r="CB7" s="75"/>
      <c r="CC7" s="18"/>
      <c r="CD7" s="110">
        <f>S7+2</f>
        <v>75</v>
      </c>
      <c r="CE7" s="75"/>
      <c r="CF7" s="18"/>
      <c r="CG7" s="76"/>
      <c r="CH7" s="75"/>
      <c r="CI7" s="18"/>
      <c r="CJ7" s="78">
        <v>3</v>
      </c>
      <c r="CK7" s="110">
        <f>AU7+1</f>
        <v>76</v>
      </c>
      <c r="CL7" s="75"/>
      <c r="CM7" s="18"/>
      <c r="CN7" s="110">
        <f>AH7+1</f>
        <v>86</v>
      </c>
      <c r="CO7" s="75"/>
      <c r="CP7" s="18"/>
      <c r="CQ7" s="110">
        <f>S7+1</f>
        <v>74</v>
      </c>
      <c r="CR7" s="75"/>
      <c r="CS7" s="18"/>
      <c r="CT7" s="76"/>
      <c r="CU7" s="75"/>
      <c r="CV7" s="18"/>
      <c r="CW7" s="78">
        <v>3</v>
      </c>
      <c r="CX7" s="79">
        <f>(AX7+BA7+BD7+BG7)/4</f>
        <v>58.25</v>
      </c>
      <c r="CY7" s="79">
        <f>(BK7+BN7+BQ7+BT7)/4</f>
        <v>57.75</v>
      </c>
      <c r="CZ7" s="79">
        <f>(BX7+CA7+CD7+CG7)/4</f>
        <v>59.75</v>
      </c>
      <c r="DA7" s="79">
        <f>(CK7+CN7+CQ7+CT7)/4</f>
        <v>59</v>
      </c>
      <c r="DB7" s="18"/>
      <c r="DC7" s="80">
        <f>SUM(CX7:DA7)/4</f>
        <v>58.6875</v>
      </c>
      <c r="DD7" s="18"/>
      <c r="DE7" s="79">
        <f>DC7*0.5</f>
        <v>29.34375</v>
      </c>
      <c r="DF7" s="75"/>
      <c r="DG7" s="79">
        <f>DF7*0.5</f>
        <v>0</v>
      </c>
      <c r="DH7" s="81">
        <f>DG7+DE7</f>
        <v>29.34375</v>
      </c>
      <c r="DI7" s="18"/>
      <c r="DJ7" s="79">
        <f>DC7*0.3</f>
        <v>17.60625</v>
      </c>
      <c r="DK7" s="75"/>
      <c r="DL7" s="79">
        <f>DK7*0.7</f>
        <v>0</v>
      </c>
      <c r="DM7" s="81">
        <f>DL7+DJ7</f>
        <v>17.60625</v>
      </c>
    </row>
    <row r="8" ht="13.5" customHeight="1">
      <c r="A8" s="105"/>
      <c r="B8" s="106">
        <v>4</v>
      </c>
      <c r="C8" t="s" s="70">
        <v>287</v>
      </c>
      <c r="D8" t="s" s="162">
        <v>288</v>
      </c>
      <c r="E8" t="s" s="113">
        <v>43</v>
      </c>
      <c r="F8" t="s" s="83">
        <v>43</v>
      </c>
      <c r="G8" s="75"/>
      <c r="H8" s="79">
        <v>10</v>
      </c>
      <c r="I8" s="79">
        <v>7</v>
      </c>
      <c r="J8" s="79">
        <v>5</v>
      </c>
      <c r="K8" s="75"/>
      <c r="L8" s="75"/>
      <c r="M8" s="79">
        <v>8</v>
      </c>
      <c r="N8" s="79">
        <v>10</v>
      </c>
      <c r="O8" s="79">
        <v>5</v>
      </c>
      <c r="P8" s="79">
        <v>8</v>
      </c>
      <c r="Q8" s="79">
        <v>5</v>
      </c>
      <c r="R8" s="79">
        <v>5</v>
      </c>
      <c r="S8" s="79">
        <f>R8+Q8+P8+O8+N8+M8+L8+K8+J8+I8+H8</f>
        <v>63</v>
      </c>
      <c r="T8" s="75"/>
      <c r="U8" s="75"/>
      <c r="V8" t="s" s="72">
        <v>43</v>
      </c>
      <c r="W8" t="s" s="113">
        <v>43</v>
      </c>
      <c r="X8" t="s" s="72">
        <v>43</v>
      </c>
      <c r="Y8" t="s" s="113">
        <v>43</v>
      </c>
      <c r="Z8" s="75"/>
      <c r="AA8" s="163">
        <v>10</v>
      </c>
      <c r="AB8" s="165">
        <v>8</v>
      </c>
      <c r="AC8" s="79">
        <v>8</v>
      </c>
      <c r="AD8" s="110">
        <v>0</v>
      </c>
      <c r="AE8" s="79">
        <v>0</v>
      </c>
      <c r="AF8" s="110">
        <v>5</v>
      </c>
      <c r="AG8" s="79">
        <v>30</v>
      </c>
      <c r="AH8" s="108">
        <f>SUM(AA8:AF8)+AG8</f>
        <v>61</v>
      </c>
      <c r="AI8" s="76"/>
      <c r="AJ8" s="75"/>
      <c r="AK8" t="s" s="130">
        <v>282</v>
      </c>
      <c r="AL8" s="112">
        <v>4</v>
      </c>
      <c r="AM8" s="110">
        <v>10</v>
      </c>
      <c r="AN8" s="79">
        <v>14</v>
      </c>
      <c r="AO8" s="110">
        <v>20</v>
      </c>
      <c r="AP8" s="79">
        <v>8</v>
      </c>
      <c r="AQ8" s="79">
        <v>10</v>
      </c>
      <c r="AR8" s="110">
        <v>14</v>
      </c>
      <c r="AS8" s="79">
        <v>10</v>
      </c>
      <c r="AT8" s="77">
        <v>3</v>
      </c>
      <c r="AU8" s="77">
        <f>SUM(AM8:AT8)</f>
        <v>89</v>
      </c>
      <c r="AV8" t="s" s="130">
        <v>289</v>
      </c>
      <c r="AW8" s="78">
        <v>4</v>
      </c>
      <c r="AX8" s="110">
        <f>AU8+0</f>
        <v>89</v>
      </c>
      <c r="AY8" s="75"/>
      <c r="AZ8" s="18"/>
      <c r="BA8" s="110">
        <f>AH8</f>
        <v>61</v>
      </c>
      <c r="BB8" s="79">
        <v>61</v>
      </c>
      <c r="BC8" s="18"/>
      <c r="BD8" s="110">
        <f>S8</f>
        <v>63</v>
      </c>
      <c r="BE8" s="75"/>
      <c r="BF8" s="18"/>
      <c r="BG8" s="76"/>
      <c r="BH8" s="75"/>
      <c r="BI8" s="18"/>
      <c r="BJ8" s="78">
        <v>4</v>
      </c>
      <c r="BK8" s="110">
        <f>AU8-1</f>
        <v>88</v>
      </c>
      <c r="BL8" s="75"/>
      <c r="BM8" s="18"/>
      <c r="BN8" s="110">
        <f>AH8-1</f>
        <v>60</v>
      </c>
      <c r="BO8" s="79">
        <v>61</v>
      </c>
      <c r="BP8" s="18"/>
      <c r="BQ8" s="110">
        <f>S8-1</f>
        <v>62</v>
      </c>
      <c r="BR8" s="75"/>
      <c r="BS8" s="18"/>
      <c r="BT8" s="76"/>
      <c r="BU8" s="75"/>
      <c r="BV8" s="18"/>
      <c r="BW8" s="78">
        <v>4</v>
      </c>
      <c r="BX8" s="110">
        <f>AU8+2</f>
        <v>91</v>
      </c>
      <c r="BY8" s="75"/>
      <c r="BZ8" s="18"/>
      <c r="CA8" s="110">
        <f>AH8+2</f>
        <v>63</v>
      </c>
      <c r="CB8" s="79">
        <v>61</v>
      </c>
      <c r="CC8" s="18"/>
      <c r="CD8" s="110">
        <f>S8+2</f>
        <v>65</v>
      </c>
      <c r="CE8" s="75"/>
      <c r="CF8" s="18"/>
      <c r="CG8" s="76"/>
      <c r="CH8" s="75"/>
      <c r="CI8" s="18"/>
      <c r="CJ8" s="78">
        <v>4</v>
      </c>
      <c r="CK8" s="110">
        <f>AU8+1</f>
        <v>90</v>
      </c>
      <c r="CL8" s="75"/>
      <c r="CM8" s="18"/>
      <c r="CN8" s="110">
        <f>AH8+1</f>
        <v>62</v>
      </c>
      <c r="CO8" s="79">
        <v>61</v>
      </c>
      <c r="CP8" s="18"/>
      <c r="CQ8" s="110">
        <f>S8+1</f>
        <v>64</v>
      </c>
      <c r="CR8" s="75"/>
      <c r="CS8" s="18"/>
      <c r="CT8" s="76"/>
      <c r="CU8" s="75"/>
      <c r="CV8" s="18"/>
      <c r="CW8" s="78">
        <v>4</v>
      </c>
      <c r="CX8" s="79">
        <f>(AX8+BA8+BD8+BG8)/4</f>
        <v>53.25</v>
      </c>
      <c r="CY8" s="79">
        <f>(BK8+BN8+BQ8+BT8)/4</f>
        <v>52.5</v>
      </c>
      <c r="CZ8" s="79">
        <f>(BX8+CA8+CD8+CG8)/4</f>
        <v>54.75</v>
      </c>
      <c r="DA8" s="79">
        <f>(CK8+CN8+CQ8+CT8)/4</f>
        <v>54</v>
      </c>
      <c r="DB8" s="18"/>
      <c r="DC8" s="80">
        <f>SUM(CX8:DA8)/4</f>
        <v>53.625</v>
      </c>
      <c r="DD8" s="18"/>
      <c r="DE8" s="79">
        <f>DC8*0.5</f>
        <v>26.8125</v>
      </c>
      <c r="DF8" s="75"/>
      <c r="DG8" s="79">
        <f>DF8*0.5</f>
        <v>0</v>
      </c>
      <c r="DH8" s="81">
        <f>DG8+DE8</f>
        <v>26.8125</v>
      </c>
      <c r="DI8" s="18"/>
      <c r="DJ8" s="79">
        <f>DC8*0.3</f>
        <v>16.0875</v>
      </c>
      <c r="DK8" s="75"/>
      <c r="DL8" s="79">
        <f>DK8*0.7</f>
        <v>0</v>
      </c>
      <c r="DM8" s="81">
        <f>DL8+DJ8</f>
        <v>16.0875</v>
      </c>
    </row>
    <row r="9" ht="13.5" customHeight="1">
      <c r="A9" s="105"/>
      <c r="B9" s="106">
        <v>5</v>
      </c>
      <c r="C9" t="s" s="70">
        <v>290</v>
      </c>
      <c r="D9" t="s" s="162">
        <v>291</v>
      </c>
      <c r="E9" t="s" s="113">
        <v>43</v>
      </c>
      <c r="F9" t="s" s="83">
        <v>43</v>
      </c>
      <c r="G9" s="75"/>
      <c r="H9" s="79">
        <v>10</v>
      </c>
      <c r="I9" s="79">
        <v>8</v>
      </c>
      <c r="J9" s="79">
        <v>8</v>
      </c>
      <c r="K9" s="79">
        <v>20</v>
      </c>
      <c r="L9" s="79">
        <v>10</v>
      </c>
      <c r="M9" s="79">
        <v>8</v>
      </c>
      <c r="N9" s="79">
        <v>10</v>
      </c>
      <c r="O9" s="79">
        <v>5</v>
      </c>
      <c r="P9" s="79">
        <v>10</v>
      </c>
      <c r="Q9" s="79">
        <v>5</v>
      </c>
      <c r="R9" s="79">
        <v>5</v>
      </c>
      <c r="S9" s="79">
        <f>R9+Q9+P9+O9+N9+M9+L9+K9+J9+I9+H9</f>
        <v>99</v>
      </c>
      <c r="T9" s="75"/>
      <c r="U9" s="75"/>
      <c r="V9" t="s" s="72">
        <v>43</v>
      </c>
      <c r="W9" t="s" s="113">
        <v>161</v>
      </c>
      <c r="X9" t="s" s="72">
        <v>43</v>
      </c>
      <c r="Y9" t="s" s="113">
        <v>43</v>
      </c>
      <c r="Z9" s="75"/>
      <c r="AA9" s="163">
        <v>10</v>
      </c>
      <c r="AB9" s="165">
        <v>10</v>
      </c>
      <c r="AC9" s="79">
        <v>10</v>
      </c>
      <c r="AD9" s="110">
        <v>20</v>
      </c>
      <c r="AE9" s="79">
        <v>10</v>
      </c>
      <c r="AF9" s="110">
        <v>10</v>
      </c>
      <c r="AG9" s="79">
        <v>30</v>
      </c>
      <c r="AH9" s="108">
        <f>SUM(AA9:AF9)+AG9</f>
        <v>100</v>
      </c>
      <c r="AI9" s="76"/>
      <c r="AJ9" s="75"/>
      <c r="AK9" s="76"/>
      <c r="AL9" s="112">
        <v>5</v>
      </c>
      <c r="AM9" s="110">
        <v>8</v>
      </c>
      <c r="AN9" s="79">
        <v>20</v>
      </c>
      <c r="AO9" s="110">
        <v>20</v>
      </c>
      <c r="AP9" s="79">
        <v>10</v>
      </c>
      <c r="AQ9" s="79">
        <v>15</v>
      </c>
      <c r="AR9" s="110">
        <v>15</v>
      </c>
      <c r="AS9" s="79">
        <v>10</v>
      </c>
      <c r="AT9" s="77">
        <v>3</v>
      </c>
      <c r="AU9" s="77">
        <f>SUM(AM9:AT9)</f>
        <v>101</v>
      </c>
      <c r="AV9" s="63"/>
      <c r="AW9" s="78">
        <v>5</v>
      </c>
      <c r="AX9" s="110">
        <v>100</v>
      </c>
      <c r="AY9" s="75"/>
      <c r="AZ9" s="18"/>
      <c r="BA9" s="110">
        <f>AH9</f>
        <v>100</v>
      </c>
      <c r="BB9" s="75"/>
      <c r="BC9" s="18"/>
      <c r="BD9" s="110">
        <f>S9</f>
        <v>99</v>
      </c>
      <c r="BE9" s="75"/>
      <c r="BF9" s="18"/>
      <c r="BG9" s="76"/>
      <c r="BH9" s="75"/>
      <c r="BI9" s="18"/>
      <c r="BJ9" s="78">
        <v>5</v>
      </c>
      <c r="BK9" s="110">
        <f>AU9-1</f>
        <v>100</v>
      </c>
      <c r="BL9" s="75"/>
      <c r="BM9" s="18"/>
      <c r="BN9" s="110">
        <f>AH9-1</f>
        <v>99</v>
      </c>
      <c r="BO9" s="75"/>
      <c r="BP9" s="18"/>
      <c r="BQ9" s="110">
        <f>S9-1</f>
        <v>98</v>
      </c>
      <c r="BR9" s="75"/>
      <c r="BS9" s="18"/>
      <c r="BT9" s="76"/>
      <c r="BU9" s="75"/>
      <c r="BV9" s="18"/>
      <c r="BW9" s="78">
        <v>5</v>
      </c>
      <c r="BX9" s="110">
        <f>AU9+2</f>
        <v>103</v>
      </c>
      <c r="BY9" s="75"/>
      <c r="BZ9" s="18"/>
      <c r="CA9" s="110">
        <v>100</v>
      </c>
      <c r="CB9" s="75"/>
      <c r="CC9" s="18"/>
      <c r="CD9" s="110">
        <v>100</v>
      </c>
      <c r="CE9" s="75"/>
      <c r="CF9" s="18"/>
      <c r="CG9" s="76"/>
      <c r="CH9" s="75"/>
      <c r="CI9" s="18"/>
      <c r="CJ9" s="78">
        <v>5</v>
      </c>
      <c r="CK9" s="110">
        <v>100</v>
      </c>
      <c r="CL9" s="75"/>
      <c r="CM9" s="18"/>
      <c r="CN9" s="110">
        <v>100</v>
      </c>
      <c r="CO9" s="75"/>
      <c r="CP9" s="18"/>
      <c r="CQ9" s="110">
        <f>S9+1</f>
        <v>100</v>
      </c>
      <c r="CR9" s="75"/>
      <c r="CS9" s="18"/>
      <c r="CT9" s="76"/>
      <c r="CU9" s="75"/>
      <c r="CV9" s="18"/>
      <c r="CW9" s="78">
        <v>5</v>
      </c>
      <c r="CX9" s="79">
        <f>(AX9+BA9+BD9+BG9)/4</f>
        <v>74.75</v>
      </c>
      <c r="CY9" s="79">
        <f>(BK9+BN9+BQ9+BT9)/4</f>
        <v>74.25</v>
      </c>
      <c r="CZ9" s="79">
        <f>(BX9+CA9+CD9+CG9)/4</f>
        <v>75.75</v>
      </c>
      <c r="DA9" s="79">
        <f>(CK9+CN9+CQ9+CT9)/4</f>
        <v>75</v>
      </c>
      <c r="DB9" s="18"/>
      <c r="DC9" s="80">
        <f>SUM(CX9:DA9)/4</f>
        <v>74.9375</v>
      </c>
      <c r="DD9" s="18"/>
      <c r="DE9" s="79">
        <f>DC9*0.5</f>
        <v>37.46875</v>
      </c>
      <c r="DF9" s="75"/>
      <c r="DG9" s="79">
        <f>DF9*0.5</f>
        <v>0</v>
      </c>
      <c r="DH9" s="81">
        <f>DG9+DE9</f>
        <v>37.46875</v>
      </c>
      <c r="DI9" s="18"/>
      <c r="DJ9" s="79">
        <f>DC9*0.3</f>
        <v>22.48125</v>
      </c>
      <c r="DK9" s="75"/>
      <c r="DL9" s="79">
        <f>DK9*0.7</f>
        <v>0</v>
      </c>
      <c r="DM9" s="81">
        <f>DL9+DJ9</f>
        <v>22.48125</v>
      </c>
    </row>
    <row r="10" ht="13.5" customHeight="1">
      <c r="A10" s="105"/>
      <c r="B10" s="106">
        <v>6</v>
      </c>
      <c r="C10" t="s" s="70">
        <v>292</v>
      </c>
      <c r="D10" t="s" s="162">
        <v>293</v>
      </c>
      <c r="E10" t="s" s="113">
        <v>43</v>
      </c>
      <c r="F10" t="s" s="83">
        <v>43</v>
      </c>
      <c r="G10" s="75"/>
      <c r="H10" s="79">
        <v>10</v>
      </c>
      <c r="I10" s="79">
        <v>8</v>
      </c>
      <c r="J10" s="79">
        <v>9</v>
      </c>
      <c r="K10" s="79">
        <v>17</v>
      </c>
      <c r="L10" s="79">
        <v>4</v>
      </c>
      <c r="M10" s="79">
        <v>8</v>
      </c>
      <c r="N10" s="79">
        <v>10</v>
      </c>
      <c r="O10" s="79">
        <v>4</v>
      </c>
      <c r="P10" s="79">
        <v>7</v>
      </c>
      <c r="Q10" s="79">
        <v>5</v>
      </c>
      <c r="R10" s="79">
        <v>5</v>
      </c>
      <c r="S10" s="79">
        <f>R10+Q10+P10+O10+N10+M10+L10+K10+J10+I10+H10</f>
        <v>87</v>
      </c>
      <c r="T10" s="75"/>
      <c r="U10" s="75"/>
      <c r="V10" t="s" s="72">
        <v>43</v>
      </c>
      <c r="W10" t="s" s="113">
        <v>43</v>
      </c>
      <c r="X10" t="s" s="72">
        <v>43</v>
      </c>
      <c r="Y10" t="s" s="113">
        <v>43</v>
      </c>
      <c r="Z10" s="75"/>
      <c r="AA10" s="163">
        <v>10</v>
      </c>
      <c r="AB10" s="165">
        <v>9</v>
      </c>
      <c r="AC10" s="79">
        <v>8</v>
      </c>
      <c r="AD10" s="110">
        <v>15</v>
      </c>
      <c r="AE10" s="79">
        <v>7</v>
      </c>
      <c r="AF10" s="110">
        <v>10</v>
      </c>
      <c r="AG10" s="79">
        <v>30</v>
      </c>
      <c r="AH10" s="108">
        <f>SUM(AA10:AF10)+AG10</f>
        <v>89</v>
      </c>
      <c r="AI10" s="76"/>
      <c r="AJ10" s="75"/>
      <c r="AK10" s="76"/>
      <c r="AL10" s="112">
        <v>6</v>
      </c>
      <c r="AM10" s="110">
        <v>10</v>
      </c>
      <c r="AN10" s="79">
        <v>0</v>
      </c>
      <c r="AO10" s="110">
        <v>20</v>
      </c>
      <c r="AP10" s="79">
        <v>10</v>
      </c>
      <c r="AQ10" s="79">
        <v>7</v>
      </c>
      <c r="AR10" s="110">
        <v>13</v>
      </c>
      <c r="AS10" s="79">
        <v>10</v>
      </c>
      <c r="AT10" s="77">
        <v>3</v>
      </c>
      <c r="AU10" s="77">
        <f>SUM(AM10:AT10)</f>
        <v>73</v>
      </c>
      <c r="AV10" s="112">
        <v>73</v>
      </c>
      <c r="AW10" s="78">
        <v>6</v>
      </c>
      <c r="AX10" s="110">
        <f>AU10+0</f>
        <v>73</v>
      </c>
      <c r="AY10" s="75"/>
      <c r="AZ10" s="18"/>
      <c r="BA10" s="110">
        <f>AH10</f>
        <v>89</v>
      </c>
      <c r="BB10" s="75"/>
      <c r="BC10" s="18"/>
      <c r="BD10" s="110">
        <f>S10</f>
        <v>87</v>
      </c>
      <c r="BE10" s="75"/>
      <c r="BF10" s="18"/>
      <c r="BG10" s="76"/>
      <c r="BH10" s="75"/>
      <c r="BI10" s="18"/>
      <c r="BJ10" s="78">
        <v>6</v>
      </c>
      <c r="BK10" s="110">
        <f>AU10-1</f>
        <v>72</v>
      </c>
      <c r="BL10" s="75"/>
      <c r="BM10" s="18"/>
      <c r="BN10" s="110">
        <f>AH10-1</f>
        <v>88</v>
      </c>
      <c r="BO10" s="75"/>
      <c r="BP10" s="18"/>
      <c r="BQ10" s="110">
        <f>S10-1</f>
        <v>86</v>
      </c>
      <c r="BR10" s="75"/>
      <c r="BS10" s="18"/>
      <c r="BT10" s="76"/>
      <c r="BU10" s="75"/>
      <c r="BV10" s="18"/>
      <c r="BW10" s="78">
        <v>6</v>
      </c>
      <c r="BX10" s="110">
        <f>AU10+2</f>
        <v>75</v>
      </c>
      <c r="BY10" s="75"/>
      <c r="BZ10" s="18"/>
      <c r="CA10" s="110">
        <f>AH10+2</f>
        <v>91</v>
      </c>
      <c r="CB10" s="75"/>
      <c r="CC10" s="18"/>
      <c r="CD10" s="110">
        <f>S10+2</f>
        <v>89</v>
      </c>
      <c r="CE10" s="75"/>
      <c r="CF10" s="18"/>
      <c r="CG10" s="76"/>
      <c r="CH10" s="75"/>
      <c r="CI10" s="18"/>
      <c r="CJ10" s="78">
        <v>6</v>
      </c>
      <c r="CK10" s="110">
        <f>AU10+1</f>
        <v>74</v>
      </c>
      <c r="CL10" s="75"/>
      <c r="CM10" s="18"/>
      <c r="CN10" s="110">
        <f>AH10+1</f>
        <v>90</v>
      </c>
      <c r="CO10" s="75"/>
      <c r="CP10" s="18"/>
      <c r="CQ10" s="110">
        <f>S10+1</f>
        <v>88</v>
      </c>
      <c r="CR10" s="75"/>
      <c r="CS10" s="18"/>
      <c r="CT10" s="76"/>
      <c r="CU10" s="75"/>
      <c r="CV10" s="18"/>
      <c r="CW10" s="78">
        <v>6</v>
      </c>
      <c r="CX10" s="79">
        <f>(AX10+BA10+BD10+BG10)/4</f>
        <v>62.25</v>
      </c>
      <c r="CY10" s="79">
        <f>(BK10+BN10+BQ10+BT10)/4</f>
        <v>61.5</v>
      </c>
      <c r="CZ10" s="79">
        <f>(BX10+CA10+CD10+CG10)/4</f>
        <v>63.75</v>
      </c>
      <c r="DA10" s="79">
        <f>(CK10+CN10+CQ10+CT10)/4</f>
        <v>63</v>
      </c>
      <c r="DB10" s="18"/>
      <c r="DC10" s="80">
        <f>SUM(CX10:DA10)/4</f>
        <v>62.625</v>
      </c>
      <c r="DD10" s="18"/>
      <c r="DE10" s="79">
        <f>DC10*0.5</f>
        <v>31.3125</v>
      </c>
      <c r="DF10" s="75"/>
      <c r="DG10" s="79">
        <f>DF10*0.5</f>
        <v>0</v>
      </c>
      <c r="DH10" s="81">
        <f>DG10+DE10</f>
        <v>31.3125</v>
      </c>
      <c r="DI10" s="18"/>
      <c r="DJ10" s="79">
        <f>DC10*0.3</f>
        <v>18.7875</v>
      </c>
      <c r="DK10" s="75"/>
      <c r="DL10" s="79">
        <f>DK10*0.7</f>
        <v>0</v>
      </c>
      <c r="DM10" s="81">
        <f>DL10+DJ10</f>
        <v>18.7875</v>
      </c>
    </row>
    <row r="11" ht="13.5" customHeight="1">
      <c r="A11" s="31">
        <v>1</v>
      </c>
      <c r="B11" s="106">
        <v>7</v>
      </c>
      <c r="C11" t="s" s="70">
        <v>169</v>
      </c>
      <c r="D11" t="s" s="162">
        <v>294</v>
      </c>
      <c r="E11" t="s" s="113">
        <v>43</v>
      </c>
      <c r="F11" t="s" s="83">
        <v>43</v>
      </c>
      <c r="G11" s="75"/>
      <c r="H11" s="79">
        <v>10</v>
      </c>
      <c r="I11" s="79">
        <v>10</v>
      </c>
      <c r="J11" s="79">
        <v>8</v>
      </c>
      <c r="K11" s="75"/>
      <c r="L11" s="75"/>
      <c r="M11" s="79">
        <v>10</v>
      </c>
      <c r="N11" s="79">
        <v>10</v>
      </c>
      <c r="O11" s="79">
        <v>8</v>
      </c>
      <c r="P11" s="79">
        <v>8</v>
      </c>
      <c r="Q11" s="163">
        <v>5</v>
      </c>
      <c r="R11" s="166">
        <v>5</v>
      </c>
      <c r="S11" s="79">
        <f>R11+Q11+P11+O11+N11+M11+L11+K11+J11+I11+H11</f>
        <v>74</v>
      </c>
      <c r="T11" s="75"/>
      <c r="U11" s="75"/>
      <c r="V11" t="s" s="72">
        <v>43</v>
      </c>
      <c r="W11" t="s" s="113">
        <v>43</v>
      </c>
      <c r="X11" t="s" s="72">
        <v>43</v>
      </c>
      <c r="Y11" t="s" s="113">
        <v>43</v>
      </c>
      <c r="Z11" s="75"/>
      <c r="AA11" s="163">
        <v>10</v>
      </c>
      <c r="AB11" s="165">
        <v>9</v>
      </c>
      <c r="AC11" s="79">
        <v>9</v>
      </c>
      <c r="AD11" s="110">
        <v>14</v>
      </c>
      <c r="AE11" s="79">
        <v>4</v>
      </c>
      <c r="AF11" s="110">
        <v>10</v>
      </c>
      <c r="AG11" s="79">
        <v>30</v>
      </c>
      <c r="AH11" s="108">
        <f>SUM(AA11:AF11)+AG11</f>
        <v>86</v>
      </c>
      <c r="AI11" s="76"/>
      <c r="AJ11" s="75"/>
      <c r="AK11" s="76"/>
      <c r="AL11" s="112">
        <v>7</v>
      </c>
      <c r="AM11" s="110">
        <v>10</v>
      </c>
      <c r="AN11" s="79">
        <v>0</v>
      </c>
      <c r="AO11" s="110">
        <v>20</v>
      </c>
      <c r="AP11" s="79">
        <v>0</v>
      </c>
      <c r="AQ11" s="79">
        <v>0</v>
      </c>
      <c r="AR11" s="110">
        <v>14</v>
      </c>
      <c r="AS11" s="79">
        <v>10</v>
      </c>
      <c r="AT11" s="77">
        <v>3</v>
      </c>
      <c r="AU11" s="77">
        <f>SUM(AM11:AT11)</f>
        <v>57</v>
      </c>
      <c r="AV11" s="18"/>
      <c r="AW11" s="78">
        <v>7</v>
      </c>
      <c r="AX11" s="110">
        <f>AU11+0</f>
        <v>57</v>
      </c>
      <c r="AY11" s="79">
        <v>75</v>
      </c>
      <c r="AZ11" s="18"/>
      <c r="BA11" s="110">
        <f>AH11</f>
        <v>86</v>
      </c>
      <c r="BB11" s="75"/>
      <c r="BC11" s="18"/>
      <c r="BD11" s="110">
        <f>S11</f>
        <v>74</v>
      </c>
      <c r="BE11" s="75"/>
      <c r="BF11" s="18"/>
      <c r="BG11" s="76"/>
      <c r="BH11" s="75"/>
      <c r="BI11" s="18"/>
      <c r="BJ11" s="78">
        <v>7</v>
      </c>
      <c r="BK11" s="110">
        <f>AU11-1</f>
        <v>56</v>
      </c>
      <c r="BL11" s="79">
        <v>75</v>
      </c>
      <c r="BM11" s="18"/>
      <c r="BN11" s="110">
        <f>AH11-1</f>
        <v>85</v>
      </c>
      <c r="BO11" s="75"/>
      <c r="BP11" s="18"/>
      <c r="BQ11" s="110">
        <f>S11-1</f>
        <v>73</v>
      </c>
      <c r="BR11" s="75"/>
      <c r="BS11" s="18"/>
      <c r="BT11" s="76"/>
      <c r="BU11" s="75"/>
      <c r="BV11" s="18"/>
      <c r="BW11" s="78">
        <v>7</v>
      </c>
      <c r="BX11" s="110">
        <f>AU11+2</f>
        <v>59</v>
      </c>
      <c r="BY11" s="79">
        <v>75</v>
      </c>
      <c r="BZ11" s="18"/>
      <c r="CA11" s="110">
        <f>AH11+2</f>
        <v>88</v>
      </c>
      <c r="CB11" s="75"/>
      <c r="CC11" s="18"/>
      <c r="CD11" s="110">
        <f>S11+2</f>
        <v>76</v>
      </c>
      <c r="CE11" s="75"/>
      <c r="CF11" s="18"/>
      <c r="CG11" s="76"/>
      <c r="CH11" s="75"/>
      <c r="CI11" s="18"/>
      <c r="CJ11" s="78">
        <v>7</v>
      </c>
      <c r="CK11" s="110">
        <f>AU11+1</f>
        <v>58</v>
      </c>
      <c r="CL11" s="79">
        <v>75</v>
      </c>
      <c r="CM11" s="18"/>
      <c r="CN11" s="110">
        <f>AH11+1</f>
        <v>87</v>
      </c>
      <c r="CO11" s="75"/>
      <c r="CP11" s="18"/>
      <c r="CQ11" s="110">
        <f>S11+1</f>
        <v>75</v>
      </c>
      <c r="CR11" s="75"/>
      <c r="CS11" s="18"/>
      <c r="CT11" s="76"/>
      <c r="CU11" s="75"/>
      <c r="CV11" s="18"/>
      <c r="CW11" s="78">
        <v>7</v>
      </c>
      <c r="CX11" s="79">
        <f>(AX11+BA11+BD11+BG11)/4</f>
        <v>54.25</v>
      </c>
      <c r="CY11" s="79">
        <f>(BK11+BN11+BQ11+BT11)/4</f>
        <v>53.5</v>
      </c>
      <c r="CZ11" s="79">
        <f>(BX11+CA11+CD11+CG11)/4</f>
        <v>55.75</v>
      </c>
      <c r="DA11" s="79">
        <f>(CK11+CN11+CQ11+CT11)/4</f>
        <v>55</v>
      </c>
      <c r="DB11" s="18"/>
      <c r="DC11" s="80">
        <f>SUM(CX11:DA11)/4</f>
        <v>54.625</v>
      </c>
      <c r="DD11" s="18"/>
      <c r="DE11" s="79">
        <f>DC11*0.5</f>
        <v>27.3125</v>
      </c>
      <c r="DF11" s="75"/>
      <c r="DG11" s="79">
        <f>DF11*0.5</f>
        <v>0</v>
      </c>
      <c r="DH11" s="81">
        <f>DG11+DE11</f>
        <v>27.3125</v>
      </c>
      <c r="DI11" s="18"/>
      <c r="DJ11" s="79">
        <f>DC11*0.3</f>
        <v>16.3875</v>
      </c>
      <c r="DK11" s="75"/>
      <c r="DL11" s="79">
        <f>DK11*0.7</f>
        <v>0</v>
      </c>
      <c r="DM11" s="81">
        <f>DL11+DJ11</f>
        <v>16.3875</v>
      </c>
    </row>
    <row r="12" ht="13.5" customHeight="1">
      <c r="A12" s="105"/>
      <c r="B12" s="106">
        <v>8</v>
      </c>
      <c r="C12" t="s" s="70">
        <v>295</v>
      </c>
      <c r="D12" t="s" s="162">
        <v>296</v>
      </c>
      <c r="E12" t="s" s="113">
        <v>43</v>
      </c>
      <c r="F12" t="s" s="83">
        <v>43</v>
      </c>
      <c r="G12" s="75"/>
      <c r="H12" s="79">
        <v>10</v>
      </c>
      <c r="I12" s="79">
        <v>7</v>
      </c>
      <c r="J12" s="79">
        <v>8</v>
      </c>
      <c r="K12" s="75"/>
      <c r="L12" s="75"/>
      <c r="M12" s="79">
        <v>0</v>
      </c>
      <c r="N12" s="79">
        <v>0</v>
      </c>
      <c r="O12" s="79">
        <v>0</v>
      </c>
      <c r="P12" s="79">
        <v>0</v>
      </c>
      <c r="Q12" s="79">
        <v>0</v>
      </c>
      <c r="R12" s="79">
        <v>5</v>
      </c>
      <c r="S12" s="79">
        <f>R12+Q12+P12+O12+N12+M12+L12+K12+J12+I12+H12</f>
        <v>30</v>
      </c>
      <c r="T12" s="75"/>
      <c r="U12" s="75"/>
      <c r="V12" t="s" s="72">
        <v>43</v>
      </c>
      <c r="W12" t="s" s="113">
        <v>43</v>
      </c>
      <c r="X12" t="s" s="72">
        <v>43</v>
      </c>
      <c r="Y12" t="s" s="113">
        <v>163</v>
      </c>
      <c r="Z12" s="75"/>
      <c r="AA12" s="163">
        <v>9</v>
      </c>
      <c r="AB12" s="165">
        <v>8</v>
      </c>
      <c r="AC12" s="79">
        <v>8</v>
      </c>
      <c r="AD12" s="110">
        <v>0</v>
      </c>
      <c r="AE12" s="79">
        <v>0</v>
      </c>
      <c r="AF12" s="110">
        <v>5</v>
      </c>
      <c r="AG12" s="79">
        <v>30</v>
      </c>
      <c r="AH12" s="108">
        <f>SUM(AA12:AF12)+AG12</f>
        <v>60</v>
      </c>
      <c r="AI12" s="76"/>
      <c r="AJ12" s="75"/>
      <c r="AK12" s="76"/>
      <c r="AL12" s="112">
        <v>8</v>
      </c>
      <c r="AM12" s="110">
        <v>10</v>
      </c>
      <c r="AN12" s="79">
        <v>0</v>
      </c>
      <c r="AO12" s="110">
        <v>20</v>
      </c>
      <c r="AP12" s="79">
        <v>8</v>
      </c>
      <c r="AQ12" s="79">
        <v>0</v>
      </c>
      <c r="AR12" s="110">
        <v>13</v>
      </c>
      <c r="AS12" s="79">
        <v>10</v>
      </c>
      <c r="AT12" s="77">
        <v>3</v>
      </c>
      <c r="AU12" s="77">
        <f>SUM(AM12:AT12)</f>
        <v>64</v>
      </c>
      <c r="AV12" s="18"/>
      <c r="AW12" s="78">
        <v>8</v>
      </c>
      <c r="AX12" s="110">
        <f>AU12+0</f>
        <v>64</v>
      </c>
      <c r="AY12" s="79">
        <v>65</v>
      </c>
      <c r="AZ12" s="18"/>
      <c r="BA12" s="110">
        <f>AH12</f>
        <v>60</v>
      </c>
      <c r="BB12" s="79">
        <v>60</v>
      </c>
      <c r="BC12" s="18"/>
      <c r="BD12" s="110">
        <f>S12</f>
        <v>30</v>
      </c>
      <c r="BE12" s="75"/>
      <c r="BF12" s="18"/>
      <c r="BG12" s="76"/>
      <c r="BH12" s="75"/>
      <c r="BI12" s="18"/>
      <c r="BJ12" s="78">
        <v>8</v>
      </c>
      <c r="BK12" s="110">
        <f>AU12-1</f>
        <v>63</v>
      </c>
      <c r="BL12" s="79">
        <v>65</v>
      </c>
      <c r="BM12" s="18"/>
      <c r="BN12" s="110">
        <f>AH12-1</f>
        <v>59</v>
      </c>
      <c r="BO12" s="79">
        <v>60</v>
      </c>
      <c r="BP12" s="18"/>
      <c r="BQ12" s="110">
        <f>S12-1</f>
        <v>29</v>
      </c>
      <c r="BR12" s="75"/>
      <c r="BS12" s="18"/>
      <c r="BT12" s="76"/>
      <c r="BU12" s="75"/>
      <c r="BV12" s="18"/>
      <c r="BW12" s="78">
        <v>8</v>
      </c>
      <c r="BX12" s="110">
        <f>AU12+2</f>
        <v>66</v>
      </c>
      <c r="BY12" s="79">
        <v>65</v>
      </c>
      <c r="BZ12" s="18"/>
      <c r="CA12" s="110">
        <f>AH12+2</f>
        <v>62</v>
      </c>
      <c r="CB12" s="79">
        <v>60</v>
      </c>
      <c r="CC12" s="18"/>
      <c r="CD12" s="110">
        <f>S12+2</f>
        <v>32</v>
      </c>
      <c r="CE12" s="75"/>
      <c r="CF12" s="18"/>
      <c r="CG12" s="76"/>
      <c r="CH12" s="75"/>
      <c r="CI12" s="18"/>
      <c r="CJ12" s="78">
        <v>8</v>
      </c>
      <c r="CK12" s="110">
        <f>AU12+1</f>
        <v>65</v>
      </c>
      <c r="CL12" s="79">
        <v>65</v>
      </c>
      <c r="CM12" s="18"/>
      <c r="CN12" s="110">
        <f>AH12+1</f>
        <v>61</v>
      </c>
      <c r="CO12" s="79">
        <v>60</v>
      </c>
      <c r="CP12" s="18"/>
      <c r="CQ12" s="110">
        <f>S12+1</f>
        <v>31</v>
      </c>
      <c r="CR12" s="75"/>
      <c r="CS12" s="18"/>
      <c r="CT12" s="76"/>
      <c r="CU12" s="75"/>
      <c r="CV12" s="18"/>
      <c r="CW12" s="78">
        <v>8</v>
      </c>
      <c r="CX12" s="79">
        <f>(AX12+BA12+BD12+BG12)/4</f>
        <v>38.5</v>
      </c>
      <c r="CY12" s="79">
        <f>(BK12+BN12+BQ12+BT12)/4</f>
        <v>37.75</v>
      </c>
      <c r="CZ12" s="79">
        <f>(BX12+CA12+CD12+CG12)/4</f>
        <v>40</v>
      </c>
      <c r="DA12" s="79">
        <f>(CK12+CN12+CQ12+CT12)/4</f>
        <v>39.25</v>
      </c>
      <c r="DB12" s="18"/>
      <c r="DC12" s="80">
        <f>SUM(CX12:DA12)/4</f>
        <v>38.875</v>
      </c>
      <c r="DD12" s="18"/>
      <c r="DE12" s="79">
        <f>DC12*0.5</f>
        <v>19.4375</v>
      </c>
      <c r="DF12" s="75"/>
      <c r="DG12" s="79">
        <f>DF12*0.5</f>
        <v>0</v>
      </c>
      <c r="DH12" s="81">
        <f>DG12+DE12</f>
        <v>19.4375</v>
      </c>
      <c r="DI12" s="18"/>
      <c r="DJ12" s="79">
        <f>DC12*0.3</f>
        <v>11.6625</v>
      </c>
      <c r="DK12" s="75"/>
      <c r="DL12" s="79">
        <f>DK12*0.7</f>
        <v>0</v>
      </c>
      <c r="DM12" s="81">
        <f>DL12+DJ12</f>
        <v>11.6625</v>
      </c>
    </row>
    <row r="13" ht="13.5" customHeight="1">
      <c r="A13" s="105"/>
      <c r="B13" s="106">
        <v>9</v>
      </c>
      <c r="C13" t="s" s="70">
        <v>54</v>
      </c>
      <c r="D13" t="s" s="162">
        <v>297</v>
      </c>
      <c r="E13" t="s" s="113">
        <v>43</v>
      </c>
      <c r="F13" t="s" s="83">
        <v>43</v>
      </c>
      <c r="G13" s="75"/>
      <c r="H13" s="79">
        <v>10</v>
      </c>
      <c r="I13" s="79">
        <v>8</v>
      </c>
      <c r="J13" s="79">
        <v>7</v>
      </c>
      <c r="K13" s="79">
        <v>18</v>
      </c>
      <c r="L13" s="79">
        <v>8</v>
      </c>
      <c r="M13" s="79">
        <v>10</v>
      </c>
      <c r="N13" s="79">
        <v>10</v>
      </c>
      <c r="O13" s="79">
        <v>8</v>
      </c>
      <c r="P13" s="79">
        <v>8</v>
      </c>
      <c r="Q13" s="163">
        <v>5</v>
      </c>
      <c r="R13" s="166">
        <v>5</v>
      </c>
      <c r="S13" s="79">
        <f>R13+Q13+P13+O13+N13+M13+L13+K13+J13+I13+H13</f>
        <v>97</v>
      </c>
      <c r="T13" s="75"/>
      <c r="U13" s="75"/>
      <c r="V13" t="s" s="72">
        <v>43</v>
      </c>
      <c r="W13" t="s" s="113">
        <v>43</v>
      </c>
      <c r="X13" t="s" s="72">
        <v>43</v>
      </c>
      <c r="Y13" t="s" s="113">
        <v>43</v>
      </c>
      <c r="Z13" s="75"/>
      <c r="AA13" s="163">
        <v>10</v>
      </c>
      <c r="AB13" s="165">
        <v>10</v>
      </c>
      <c r="AC13" s="79">
        <v>10</v>
      </c>
      <c r="AD13" s="110">
        <v>19</v>
      </c>
      <c r="AE13" s="79">
        <v>9</v>
      </c>
      <c r="AF13" s="110">
        <v>10</v>
      </c>
      <c r="AG13" s="79">
        <v>30</v>
      </c>
      <c r="AH13" s="108">
        <f>SUM(AA13:AF13)+AG13</f>
        <v>98</v>
      </c>
      <c r="AI13" s="76"/>
      <c r="AJ13" s="75"/>
      <c r="AK13" s="76"/>
      <c r="AL13" s="112">
        <v>9</v>
      </c>
      <c r="AM13" s="110">
        <v>10</v>
      </c>
      <c r="AN13" s="79">
        <v>20</v>
      </c>
      <c r="AO13" s="110">
        <v>20</v>
      </c>
      <c r="AP13" s="79">
        <v>10</v>
      </c>
      <c r="AQ13" s="79">
        <v>10</v>
      </c>
      <c r="AR13" s="110">
        <v>15</v>
      </c>
      <c r="AS13" s="79">
        <v>10</v>
      </c>
      <c r="AT13" s="77">
        <v>3</v>
      </c>
      <c r="AU13" s="77">
        <f>SUM(AM13:AT13)</f>
        <v>98</v>
      </c>
      <c r="AV13" s="18"/>
      <c r="AW13" s="78">
        <v>9</v>
      </c>
      <c r="AX13" s="110">
        <f>AU13+0</f>
        <v>98</v>
      </c>
      <c r="AY13" s="75"/>
      <c r="AZ13" s="18"/>
      <c r="BA13" s="110">
        <f>AH13</f>
        <v>98</v>
      </c>
      <c r="BB13" s="75"/>
      <c r="BC13" s="18"/>
      <c r="BD13" s="110">
        <f>S13</f>
        <v>97</v>
      </c>
      <c r="BE13" s="75"/>
      <c r="BF13" s="18"/>
      <c r="BG13" s="76"/>
      <c r="BH13" s="75"/>
      <c r="BI13" s="18"/>
      <c r="BJ13" s="78">
        <v>9</v>
      </c>
      <c r="BK13" s="110">
        <f>AU13-1</f>
        <v>97</v>
      </c>
      <c r="BL13" s="75"/>
      <c r="BM13" s="18"/>
      <c r="BN13" s="110">
        <f>AH13-1</f>
        <v>97</v>
      </c>
      <c r="BO13" s="75"/>
      <c r="BP13" s="18"/>
      <c r="BQ13" s="110">
        <f>S13-1</f>
        <v>96</v>
      </c>
      <c r="BR13" s="75"/>
      <c r="BS13" s="18"/>
      <c r="BT13" s="76"/>
      <c r="BU13" s="75"/>
      <c r="BV13" s="18"/>
      <c r="BW13" s="78">
        <v>9</v>
      </c>
      <c r="BX13" s="110">
        <f>AU13+2</f>
        <v>100</v>
      </c>
      <c r="BY13" s="75"/>
      <c r="BZ13" s="18"/>
      <c r="CA13" s="110">
        <f>AH13+2</f>
        <v>100</v>
      </c>
      <c r="CB13" s="75"/>
      <c r="CC13" s="18"/>
      <c r="CD13" s="110">
        <f>S13+2</f>
        <v>99</v>
      </c>
      <c r="CE13" s="75"/>
      <c r="CF13" s="18"/>
      <c r="CG13" s="76"/>
      <c r="CH13" s="75"/>
      <c r="CI13" s="18"/>
      <c r="CJ13" s="78">
        <v>9</v>
      </c>
      <c r="CK13" s="110">
        <f>AU13+1</f>
        <v>99</v>
      </c>
      <c r="CL13" s="75"/>
      <c r="CM13" s="18"/>
      <c r="CN13" s="110">
        <f>AH13+1</f>
        <v>99</v>
      </c>
      <c r="CO13" s="75"/>
      <c r="CP13" s="18"/>
      <c r="CQ13" s="110">
        <f>S13+1</f>
        <v>98</v>
      </c>
      <c r="CR13" s="75"/>
      <c r="CS13" s="18"/>
      <c r="CT13" s="76"/>
      <c r="CU13" s="75"/>
      <c r="CV13" s="18"/>
      <c r="CW13" s="78">
        <v>9</v>
      </c>
      <c r="CX13" s="79">
        <f>(AX13+BA13+BD13+BG13)/4</f>
        <v>73.25</v>
      </c>
      <c r="CY13" s="79">
        <f>(BK13+BN13+BQ13+BT13)/4</f>
        <v>72.5</v>
      </c>
      <c r="CZ13" s="79">
        <f>(BX13+CA13+CD13+CG13)/4</f>
        <v>74.75</v>
      </c>
      <c r="DA13" s="79">
        <f>(CK13+CN13+CQ13+CT13)/4</f>
        <v>74</v>
      </c>
      <c r="DB13" s="18"/>
      <c r="DC13" s="80">
        <f>SUM(CX13:DA13)/4</f>
        <v>73.625</v>
      </c>
      <c r="DD13" s="18"/>
      <c r="DE13" s="79">
        <f>DC13*0.5</f>
        <v>36.8125</v>
      </c>
      <c r="DF13" s="75"/>
      <c r="DG13" s="79">
        <f>DF13*0.5</f>
        <v>0</v>
      </c>
      <c r="DH13" s="81">
        <f>DG13+DE13</f>
        <v>36.8125</v>
      </c>
      <c r="DI13" s="18"/>
      <c r="DJ13" s="79">
        <f>DC13*0.3</f>
        <v>22.0875</v>
      </c>
      <c r="DK13" s="75"/>
      <c r="DL13" s="79">
        <f>DK13*0.7</f>
        <v>0</v>
      </c>
      <c r="DM13" s="81">
        <f>DL13+DJ13</f>
        <v>22.0875</v>
      </c>
    </row>
    <row r="14" ht="13.5" customHeight="1">
      <c r="A14" s="31">
        <v>1</v>
      </c>
      <c r="B14" s="106">
        <v>10</v>
      </c>
      <c r="C14" t="s" s="70">
        <v>298</v>
      </c>
      <c r="D14" t="s" s="162">
        <v>299</v>
      </c>
      <c r="E14" t="s" s="113">
        <v>43</v>
      </c>
      <c r="F14" t="s" s="83">
        <v>43</v>
      </c>
      <c r="G14" s="75"/>
      <c r="H14" s="79">
        <v>10</v>
      </c>
      <c r="I14" s="79">
        <v>10</v>
      </c>
      <c r="J14" s="79">
        <v>10</v>
      </c>
      <c r="K14" s="79">
        <v>15</v>
      </c>
      <c r="L14" s="79">
        <v>8</v>
      </c>
      <c r="M14" s="79">
        <v>8</v>
      </c>
      <c r="N14" s="79">
        <v>9</v>
      </c>
      <c r="O14" s="79">
        <v>9</v>
      </c>
      <c r="P14" s="79">
        <v>6</v>
      </c>
      <c r="Q14" s="79">
        <v>5</v>
      </c>
      <c r="R14" s="79">
        <v>5</v>
      </c>
      <c r="S14" s="79">
        <f>R14+Q14+P14+O14+N14+M14+L14+K14+J14+I14+H14</f>
        <v>95</v>
      </c>
      <c r="T14" s="75"/>
      <c r="U14" s="75"/>
      <c r="V14" t="s" s="72">
        <v>43</v>
      </c>
      <c r="W14" t="s" s="113">
        <v>43</v>
      </c>
      <c r="X14" t="s" s="72">
        <v>43</v>
      </c>
      <c r="Y14" t="s" s="113">
        <v>43</v>
      </c>
      <c r="Z14" s="75"/>
      <c r="AA14" s="163">
        <v>10</v>
      </c>
      <c r="AB14" s="165">
        <v>10</v>
      </c>
      <c r="AC14" s="79">
        <v>10</v>
      </c>
      <c r="AD14" s="110">
        <v>5</v>
      </c>
      <c r="AE14" s="79">
        <v>10</v>
      </c>
      <c r="AF14" s="110">
        <v>5</v>
      </c>
      <c r="AG14" s="79">
        <v>30</v>
      </c>
      <c r="AH14" s="108">
        <f>SUM(AA14:AF14)+AG14</f>
        <v>80</v>
      </c>
      <c r="AI14" s="76"/>
      <c r="AJ14" s="75"/>
      <c r="AK14" s="76"/>
      <c r="AL14" s="112">
        <v>10</v>
      </c>
      <c r="AM14" s="110">
        <v>10</v>
      </c>
      <c r="AN14" s="79">
        <v>20</v>
      </c>
      <c r="AO14" s="110">
        <v>20</v>
      </c>
      <c r="AP14" s="79">
        <v>10</v>
      </c>
      <c r="AQ14" s="79">
        <v>10</v>
      </c>
      <c r="AR14" s="110">
        <v>15</v>
      </c>
      <c r="AS14" s="79">
        <v>10</v>
      </c>
      <c r="AT14" s="77">
        <v>3</v>
      </c>
      <c r="AU14" s="77">
        <f>SUM(AM14:AT14)</f>
        <v>98</v>
      </c>
      <c r="AV14" s="18"/>
      <c r="AW14" s="78">
        <v>10</v>
      </c>
      <c r="AX14" s="110">
        <f>AU14+0</f>
        <v>98</v>
      </c>
      <c r="AY14" s="75"/>
      <c r="AZ14" s="18"/>
      <c r="BA14" s="110">
        <f>AH14</f>
        <v>80</v>
      </c>
      <c r="BB14" s="75"/>
      <c r="BC14" s="18"/>
      <c r="BD14" s="110">
        <f>S14</f>
        <v>95</v>
      </c>
      <c r="BE14" s="75"/>
      <c r="BF14" s="18"/>
      <c r="BG14" s="76"/>
      <c r="BH14" s="75"/>
      <c r="BI14" s="18"/>
      <c r="BJ14" s="78">
        <v>10</v>
      </c>
      <c r="BK14" s="110">
        <f>AU14-1</f>
        <v>97</v>
      </c>
      <c r="BL14" s="75"/>
      <c r="BM14" s="18"/>
      <c r="BN14" s="110">
        <f>AH14-1</f>
        <v>79</v>
      </c>
      <c r="BO14" s="75"/>
      <c r="BP14" s="18"/>
      <c r="BQ14" s="110">
        <f>S14-1</f>
        <v>94</v>
      </c>
      <c r="BR14" s="75"/>
      <c r="BS14" s="18"/>
      <c r="BT14" s="76"/>
      <c r="BU14" s="75"/>
      <c r="BV14" s="18"/>
      <c r="BW14" s="78">
        <v>10</v>
      </c>
      <c r="BX14" s="110">
        <f>AU14+2</f>
        <v>100</v>
      </c>
      <c r="BY14" s="75"/>
      <c r="BZ14" s="18"/>
      <c r="CA14" s="110">
        <f>AH14+2</f>
        <v>82</v>
      </c>
      <c r="CB14" s="75"/>
      <c r="CC14" s="18"/>
      <c r="CD14" s="110">
        <f>S14+2</f>
        <v>97</v>
      </c>
      <c r="CE14" s="75"/>
      <c r="CF14" s="18"/>
      <c r="CG14" s="76"/>
      <c r="CH14" s="75"/>
      <c r="CI14" s="18"/>
      <c r="CJ14" s="78">
        <v>10</v>
      </c>
      <c r="CK14" s="110">
        <f>AU14+1</f>
        <v>99</v>
      </c>
      <c r="CL14" s="75"/>
      <c r="CM14" s="18"/>
      <c r="CN14" s="110">
        <f>AH14+1</f>
        <v>81</v>
      </c>
      <c r="CO14" s="75"/>
      <c r="CP14" s="18"/>
      <c r="CQ14" s="110">
        <f>S14+1</f>
        <v>96</v>
      </c>
      <c r="CR14" s="75"/>
      <c r="CS14" s="18"/>
      <c r="CT14" s="76"/>
      <c r="CU14" s="75"/>
      <c r="CV14" s="18"/>
      <c r="CW14" s="78">
        <v>10</v>
      </c>
      <c r="CX14" s="79">
        <f>(AX14+BA14+BD14+BG14)/4</f>
        <v>68.25</v>
      </c>
      <c r="CY14" s="79">
        <f>(BK14+BN14+BQ14+BT14)/4</f>
        <v>67.5</v>
      </c>
      <c r="CZ14" s="79">
        <f>(BX14+CA14+CD14+CG14)/4</f>
        <v>69.75</v>
      </c>
      <c r="DA14" s="79">
        <f>(CK14+CN14+CQ14+CT14)/4</f>
        <v>69</v>
      </c>
      <c r="DB14" s="18"/>
      <c r="DC14" s="80">
        <f>SUM(CX14:DA14)/4</f>
        <v>68.625</v>
      </c>
      <c r="DD14" s="18"/>
      <c r="DE14" s="79">
        <f>DC14*0.5</f>
        <v>34.3125</v>
      </c>
      <c r="DF14" s="75"/>
      <c r="DG14" s="79">
        <f>DF14*0.5</f>
        <v>0</v>
      </c>
      <c r="DH14" s="81">
        <f>DG14+DE14</f>
        <v>34.3125</v>
      </c>
      <c r="DI14" s="18"/>
      <c r="DJ14" s="79">
        <f>DC14*0.3</f>
        <v>20.5875</v>
      </c>
      <c r="DK14" s="75"/>
      <c r="DL14" s="79">
        <f>DK14*0.7</f>
        <v>0</v>
      </c>
      <c r="DM14" s="81">
        <f>DL14+DJ14</f>
        <v>20.5875</v>
      </c>
    </row>
    <row r="15" ht="13.5" customHeight="1">
      <c r="A15" s="31">
        <v>1</v>
      </c>
      <c r="B15" s="106">
        <v>11</v>
      </c>
      <c r="C15" t="s" s="70">
        <v>300</v>
      </c>
      <c r="D15" t="s" s="162">
        <v>252</v>
      </c>
      <c r="E15" t="s" s="113">
        <v>43</v>
      </c>
      <c r="F15" t="s" s="83">
        <v>43</v>
      </c>
      <c r="G15" s="75"/>
      <c r="H15" s="79">
        <v>10</v>
      </c>
      <c r="I15" s="79">
        <v>8</v>
      </c>
      <c r="J15" s="79">
        <v>10</v>
      </c>
      <c r="K15" s="79">
        <v>19</v>
      </c>
      <c r="L15" s="79">
        <v>8</v>
      </c>
      <c r="M15" s="79">
        <v>8</v>
      </c>
      <c r="N15" s="79">
        <v>9</v>
      </c>
      <c r="O15" s="79">
        <v>9</v>
      </c>
      <c r="P15" s="79">
        <v>6</v>
      </c>
      <c r="Q15" s="79">
        <v>0</v>
      </c>
      <c r="R15" s="79">
        <v>5</v>
      </c>
      <c r="S15" s="79">
        <f>R15+Q15+P15+O15+N15+M15+L15+K15+J15+I15+H15</f>
        <v>92</v>
      </c>
      <c r="T15" s="75"/>
      <c r="U15" s="75"/>
      <c r="V15" t="s" s="72">
        <v>43</v>
      </c>
      <c r="W15" s="82"/>
      <c r="X15" t="s" s="72">
        <v>43</v>
      </c>
      <c r="Y15" t="s" s="113">
        <v>43</v>
      </c>
      <c r="Z15" s="75"/>
      <c r="AA15" s="163">
        <v>10</v>
      </c>
      <c r="AB15" s="165">
        <v>9</v>
      </c>
      <c r="AC15" s="79">
        <v>9</v>
      </c>
      <c r="AD15" s="110">
        <v>20</v>
      </c>
      <c r="AE15" s="79">
        <v>10</v>
      </c>
      <c r="AF15" s="110">
        <v>5</v>
      </c>
      <c r="AG15" s="79">
        <v>30</v>
      </c>
      <c r="AH15" s="108">
        <f>SUM(AA15:AF15)+AG15</f>
        <v>93</v>
      </c>
      <c r="AI15" s="76"/>
      <c r="AJ15" s="75"/>
      <c r="AK15" s="76"/>
      <c r="AL15" s="112">
        <v>11</v>
      </c>
      <c r="AM15" s="110">
        <v>10</v>
      </c>
      <c r="AN15" s="79">
        <v>20</v>
      </c>
      <c r="AO15" s="110">
        <v>20</v>
      </c>
      <c r="AP15" s="79">
        <v>0</v>
      </c>
      <c r="AQ15" s="79">
        <v>10</v>
      </c>
      <c r="AR15" s="110">
        <v>14</v>
      </c>
      <c r="AS15" s="79">
        <v>10</v>
      </c>
      <c r="AT15" s="77">
        <v>3</v>
      </c>
      <c r="AU15" s="77">
        <f>SUM(AM15:AT15)</f>
        <v>87</v>
      </c>
      <c r="AV15" s="18"/>
      <c r="AW15" s="78">
        <v>11</v>
      </c>
      <c r="AX15" s="110">
        <f>AU15+0</f>
        <v>87</v>
      </c>
      <c r="AY15" s="75"/>
      <c r="AZ15" s="18"/>
      <c r="BA15" s="110">
        <f>AH15</f>
        <v>93</v>
      </c>
      <c r="BB15" s="75"/>
      <c r="BC15" s="18"/>
      <c r="BD15" s="110">
        <f>S15</f>
        <v>92</v>
      </c>
      <c r="BE15" s="75"/>
      <c r="BF15" s="18"/>
      <c r="BG15" s="76"/>
      <c r="BH15" s="75"/>
      <c r="BI15" s="18"/>
      <c r="BJ15" s="78">
        <v>11</v>
      </c>
      <c r="BK15" s="110">
        <f>AU15-1</f>
        <v>86</v>
      </c>
      <c r="BL15" s="75"/>
      <c r="BM15" s="18"/>
      <c r="BN15" s="110">
        <f>AH15-1</f>
        <v>92</v>
      </c>
      <c r="BO15" s="75"/>
      <c r="BP15" s="18"/>
      <c r="BQ15" s="110">
        <f>S15-1</f>
        <v>91</v>
      </c>
      <c r="BR15" s="75"/>
      <c r="BS15" s="18"/>
      <c r="BT15" s="76"/>
      <c r="BU15" s="75"/>
      <c r="BV15" s="18"/>
      <c r="BW15" s="78">
        <v>11</v>
      </c>
      <c r="BX15" s="110">
        <f>AU15+2</f>
        <v>89</v>
      </c>
      <c r="BY15" s="75"/>
      <c r="BZ15" s="18"/>
      <c r="CA15" s="110">
        <f>AH15+2</f>
        <v>95</v>
      </c>
      <c r="CB15" s="75"/>
      <c r="CC15" s="18"/>
      <c r="CD15" s="110">
        <f>S15+2</f>
        <v>94</v>
      </c>
      <c r="CE15" s="75"/>
      <c r="CF15" s="18"/>
      <c r="CG15" s="76"/>
      <c r="CH15" s="75"/>
      <c r="CI15" s="18"/>
      <c r="CJ15" s="78">
        <v>11</v>
      </c>
      <c r="CK15" s="110">
        <f>AU15+1</f>
        <v>88</v>
      </c>
      <c r="CL15" s="75"/>
      <c r="CM15" s="18"/>
      <c r="CN15" s="110">
        <f>AH15+1</f>
        <v>94</v>
      </c>
      <c r="CO15" s="75"/>
      <c r="CP15" s="18"/>
      <c r="CQ15" s="110">
        <f>S15+1</f>
        <v>93</v>
      </c>
      <c r="CR15" s="75"/>
      <c r="CS15" s="18"/>
      <c r="CT15" s="76"/>
      <c r="CU15" s="75"/>
      <c r="CV15" s="18"/>
      <c r="CW15" s="78">
        <v>11</v>
      </c>
      <c r="CX15" s="79">
        <f>(AX15+BA15+BD15+BG15)/4</f>
        <v>68</v>
      </c>
      <c r="CY15" s="79">
        <f>(BK15+BN15+BQ15+BT15)/4</f>
        <v>67.25</v>
      </c>
      <c r="CZ15" s="79">
        <f>(BX15+CA15+CD15+CG15)/4</f>
        <v>69.5</v>
      </c>
      <c r="DA15" s="79">
        <f>(CK15+CN15+CQ15+CT15)/4</f>
        <v>68.75</v>
      </c>
      <c r="DB15" s="18"/>
      <c r="DC15" s="80">
        <f>SUM(CX15:DA15)/4</f>
        <v>68.375</v>
      </c>
      <c r="DD15" s="18"/>
      <c r="DE15" s="79">
        <f>DC15*0.5</f>
        <v>34.1875</v>
      </c>
      <c r="DF15" s="75"/>
      <c r="DG15" s="79">
        <f>DF15*0.5</f>
        <v>0</v>
      </c>
      <c r="DH15" s="81">
        <f>DG15+DE15</f>
        <v>34.1875</v>
      </c>
      <c r="DI15" s="18"/>
      <c r="DJ15" s="79">
        <f>DC15*0.3</f>
        <v>20.5125</v>
      </c>
      <c r="DK15" s="75"/>
      <c r="DL15" s="79">
        <f>DK15*0.7</f>
        <v>0</v>
      </c>
      <c r="DM15" s="81">
        <f>DL15+DJ15</f>
        <v>20.5125</v>
      </c>
    </row>
    <row r="16" ht="13.5" customHeight="1">
      <c r="A16" s="31">
        <v>1</v>
      </c>
      <c r="B16" s="106">
        <v>12</v>
      </c>
      <c r="C16" t="s" s="70">
        <v>301</v>
      </c>
      <c r="D16" t="s" s="162">
        <v>302</v>
      </c>
      <c r="E16" t="s" s="113">
        <v>161</v>
      </c>
      <c r="F16" t="s" s="83">
        <v>43</v>
      </c>
      <c r="G16" s="75"/>
      <c r="H16" s="163">
        <v>8</v>
      </c>
      <c r="I16" s="166">
        <v>10</v>
      </c>
      <c r="J16" s="79">
        <v>10</v>
      </c>
      <c r="K16" s="79">
        <v>19</v>
      </c>
      <c r="L16" s="79">
        <v>9</v>
      </c>
      <c r="M16" s="79">
        <v>8</v>
      </c>
      <c r="N16" s="79">
        <v>9</v>
      </c>
      <c r="O16" s="79">
        <v>9</v>
      </c>
      <c r="P16" s="79">
        <v>7</v>
      </c>
      <c r="Q16" s="79">
        <v>4</v>
      </c>
      <c r="R16" s="79">
        <v>5</v>
      </c>
      <c r="S16" s="79">
        <f>R16+Q16+P16+O16+N16+M16+L16+K16+J16+I16+H16</f>
        <v>98</v>
      </c>
      <c r="T16" s="75"/>
      <c r="U16" s="75"/>
      <c r="V16" t="s" s="72">
        <v>43</v>
      </c>
      <c r="W16" s="82"/>
      <c r="X16" t="s" s="72">
        <v>43</v>
      </c>
      <c r="Y16" t="s" s="113">
        <v>43</v>
      </c>
      <c r="Z16" s="75"/>
      <c r="AA16" s="163">
        <v>10</v>
      </c>
      <c r="AB16" s="165">
        <v>10</v>
      </c>
      <c r="AC16" s="79">
        <v>10</v>
      </c>
      <c r="AD16" s="110">
        <v>20</v>
      </c>
      <c r="AE16" s="79">
        <v>10</v>
      </c>
      <c r="AF16" s="110">
        <v>5</v>
      </c>
      <c r="AG16" s="79">
        <v>30</v>
      </c>
      <c r="AH16" s="108">
        <f>SUM(AA16:AF16)+AG16</f>
        <v>95</v>
      </c>
      <c r="AI16" s="76"/>
      <c r="AJ16" s="75"/>
      <c r="AK16" s="76"/>
      <c r="AL16" s="112">
        <v>12</v>
      </c>
      <c r="AM16" s="110">
        <v>10</v>
      </c>
      <c r="AN16" s="79">
        <v>20</v>
      </c>
      <c r="AO16" s="110">
        <v>20</v>
      </c>
      <c r="AP16" s="79">
        <v>10</v>
      </c>
      <c r="AQ16" s="79">
        <v>0</v>
      </c>
      <c r="AR16" s="110">
        <v>15</v>
      </c>
      <c r="AS16" s="79">
        <v>10</v>
      </c>
      <c r="AT16" s="77">
        <v>3</v>
      </c>
      <c r="AU16" s="77">
        <f>SUM(AM16:AT16)</f>
        <v>88</v>
      </c>
      <c r="AV16" s="18"/>
      <c r="AW16" s="78">
        <v>12</v>
      </c>
      <c r="AX16" s="110">
        <f>AU16+0</f>
        <v>88</v>
      </c>
      <c r="AY16" s="75"/>
      <c r="AZ16" s="18"/>
      <c r="BA16" s="110">
        <f>AH16</f>
        <v>95</v>
      </c>
      <c r="BB16" s="75"/>
      <c r="BC16" s="18"/>
      <c r="BD16" s="110">
        <f>S16</f>
        <v>98</v>
      </c>
      <c r="BE16" s="75"/>
      <c r="BF16" s="18"/>
      <c r="BG16" s="76"/>
      <c r="BH16" s="75"/>
      <c r="BI16" s="18"/>
      <c r="BJ16" s="78">
        <v>12</v>
      </c>
      <c r="BK16" s="110">
        <f>AU16-1</f>
        <v>87</v>
      </c>
      <c r="BL16" s="75"/>
      <c r="BM16" s="18"/>
      <c r="BN16" s="110">
        <f>AH16-1</f>
        <v>94</v>
      </c>
      <c r="BO16" s="75"/>
      <c r="BP16" s="18"/>
      <c r="BQ16" s="110">
        <f>S16-1</f>
        <v>97</v>
      </c>
      <c r="BR16" s="75"/>
      <c r="BS16" s="18"/>
      <c r="BT16" s="76"/>
      <c r="BU16" s="75"/>
      <c r="BV16" s="18"/>
      <c r="BW16" s="78">
        <v>12</v>
      </c>
      <c r="BX16" s="110">
        <f>AU16+2</f>
        <v>90</v>
      </c>
      <c r="BY16" s="75"/>
      <c r="BZ16" s="18"/>
      <c r="CA16" s="110">
        <f>AH16+2</f>
        <v>97</v>
      </c>
      <c r="CB16" s="75"/>
      <c r="CC16" s="18"/>
      <c r="CD16" s="110">
        <f>S16+2</f>
        <v>100</v>
      </c>
      <c r="CE16" s="75"/>
      <c r="CF16" s="18"/>
      <c r="CG16" s="76"/>
      <c r="CH16" s="75"/>
      <c r="CI16" s="18"/>
      <c r="CJ16" s="78">
        <v>12</v>
      </c>
      <c r="CK16" s="110">
        <f>AU16+1</f>
        <v>89</v>
      </c>
      <c r="CL16" s="75"/>
      <c r="CM16" s="18"/>
      <c r="CN16" s="110">
        <f>AH16+1</f>
        <v>96</v>
      </c>
      <c r="CO16" s="75"/>
      <c r="CP16" s="18"/>
      <c r="CQ16" s="110">
        <f>S16+1</f>
        <v>99</v>
      </c>
      <c r="CR16" s="75"/>
      <c r="CS16" s="18"/>
      <c r="CT16" s="76"/>
      <c r="CU16" s="75"/>
      <c r="CV16" s="18"/>
      <c r="CW16" s="78">
        <v>12</v>
      </c>
      <c r="CX16" s="79">
        <f>(AX16+BA16+BD16+BG16)/4</f>
        <v>70.25</v>
      </c>
      <c r="CY16" s="79">
        <f>(BK16+BN16+BQ16+BT16)/4</f>
        <v>69.5</v>
      </c>
      <c r="CZ16" s="79">
        <f>(BX16+CA16+CD16+CG16)/4</f>
        <v>71.75</v>
      </c>
      <c r="DA16" s="79">
        <f>(CK16+CN16+CQ16+CT16)/4</f>
        <v>71</v>
      </c>
      <c r="DB16" s="18"/>
      <c r="DC16" s="80">
        <f>SUM(CX16:DA16)/4</f>
        <v>70.625</v>
      </c>
      <c r="DD16" s="18"/>
      <c r="DE16" s="79">
        <f>DC16*0.5</f>
        <v>35.3125</v>
      </c>
      <c r="DF16" s="75"/>
      <c r="DG16" s="79">
        <f>DF16*0.5</f>
        <v>0</v>
      </c>
      <c r="DH16" s="81">
        <f>DG16+DE16</f>
        <v>35.3125</v>
      </c>
      <c r="DI16" s="18"/>
      <c r="DJ16" s="79">
        <f>DC16*0.3</f>
        <v>21.1875</v>
      </c>
      <c r="DK16" s="75"/>
      <c r="DL16" s="79">
        <f>DK16*0.7</f>
        <v>0</v>
      </c>
      <c r="DM16" s="81">
        <f>DL16+DJ16</f>
        <v>21.1875</v>
      </c>
    </row>
    <row r="17" ht="13.5" customHeight="1">
      <c r="A17" s="105"/>
      <c r="B17" s="106">
        <v>13</v>
      </c>
      <c r="C17" t="s" s="70">
        <v>303</v>
      </c>
      <c r="D17" t="s" s="162">
        <v>304</v>
      </c>
      <c r="E17" t="s" s="113">
        <v>43</v>
      </c>
      <c r="F17" t="s" s="83">
        <v>43</v>
      </c>
      <c r="G17" s="75"/>
      <c r="H17" s="163">
        <v>10</v>
      </c>
      <c r="I17" s="166">
        <v>8</v>
      </c>
      <c r="J17" s="79">
        <v>8</v>
      </c>
      <c r="K17" s="75"/>
      <c r="L17" s="75"/>
      <c r="M17" s="79">
        <v>0</v>
      </c>
      <c r="N17" s="79">
        <v>0</v>
      </c>
      <c r="O17" s="79">
        <v>0</v>
      </c>
      <c r="P17" s="79">
        <v>0</v>
      </c>
      <c r="Q17" s="79">
        <v>0</v>
      </c>
      <c r="R17" s="79">
        <v>5</v>
      </c>
      <c r="S17" s="79">
        <f>R17+Q17+P17+O17+N17+M17+L17+K17+J17+I17+H17</f>
        <v>31</v>
      </c>
      <c r="T17" s="75"/>
      <c r="U17" s="75"/>
      <c r="V17" t="s" s="72">
        <v>43</v>
      </c>
      <c r="W17" s="82"/>
      <c r="X17" t="s" s="72">
        <v>43</v>
      </c>
      <c r="Y17" t="s" s="113">
        <v>43</v>
      </c>
      <c r="Z17" s="75"/>
      <c r="AA17" s="163">
        <v>10</v>
      </c>
      <c r="AB17" s="165">
        <v>7</v>
      </c>
      <c r="AC17" s="79">
        <v>7</v>
      </c>
      <c r="AD17" s="110">
        <v>0</v>
      </c>
      <c r="AE17" s="79">
        <v>0</v>
      </c>
      <c r="AF17" s="110">
        <v>5</v>
      </c>
      <c r="AG17" s="79">
        <v>30</v>
      </c>
      <c r="AH17" s="108">
        <f>SUM(AA17:AF17)+AG17</f>
        <v>59</v>
      </c>
      <c r="AI17" s="76"/>
      <c r="AJ17" s="75"/>
      <c r="AK17" s="76"/>
      <c r="AL17" s="112">
        <v>13</v>
      </c>
      <c r="AM17" s="110">
        <v>10</v>
      </c>
      <c r="AN17" s="79">
        <v>0</v>
      </c>
      <c r="AO17" s="110">
        <v>20</v>
      </c>
      <c r="AP17" s="79">
        <v>0</v>
      </c>
      <c r="AQ17" s="79">
        <v>0</v>
      </c>
      <c r="AR17" s="110">
        <v>0</v>
      </c>
      <c r="AS17" s="79">
        <v>10</v>
      </c>
      <c r="AT17" s="77">
        <v>3</v>
      </c>
      <c r="AU17" s="77">
        <f>SUM(AM17:AT17)</f>
        <v>43</v>
      </c>
      <c r="AV17" s="18"/>
      <c r="AW17" s="78">
        <v>13</v>
      </c>
      <c r="AX17" s="110">
        <f>AU17+0</f>
        <v>43</v>
      </c>
      <c r="AY17" s="79">
        <v>45</v>
      </c>
      <c r="AZ17" s="18"/>
      <c r="BA17" s="110">
        <f>AH17</f>
        <v>59</v>
      </c>
      <c r="BB17" s="79">
        <v>60</v>
      </c>
      <c r="BC17" s="18"/>
      <c r="BD17" s="110">
        <f>S17</f>
        <v>31</v>
      </c>
      <c r="BE17" s="75"/>
      <c r="BF17" s="18"/>
      <c r="BG17" s="76"/>
      <c r="BH17" s="75"/>
      <c r="BI17" s="18"/>
      <c r="BJ17" s="78">
        <v>13</v>
      </c>
      <c r="BK17" s="110">
        <f>AU17-1</f>
        <v>42</v>
      </c>
      <c r="BL17" s="79">
        <v>45</v>
      </c>
      <c r="BM17" s="18"/>
      <c r="BN17" s="110">
        <f>AH17-1</f>
        <v>58</v>
      </c>
      <c r="BO17" s="79">
        <v>60</v>
      </c>
      <c r="BP17" s="18"/>
      <c r="BQ17" s="110">
        <f>S17-1</f>
        <v>30</v>
      </c>
      <c r="BR17" s="75"/>
      <c r="BS17" s="18"/>
      <c r="BT17" s="76"/>
      <c r="BU17" s="75"/>
      <c r="BV17" s="18"/>
      <c r="BW17" s="78">
        <v>13</v>
      </c>
      <c r="BX17" s="110">
        <f>AU17+2</f>
        <v>45</v>
      </c>
      <c r="BY17" s="79">
        <v>45</v>
      </c>
      <c r="BZ17" s="18"/>
      <c r="CA17" s="110">
        <f>AH17+2</f>
        <v>61</v>
      </c>
      <c r="CB17" s="79">
        <v>60</v>
      </c>
      <c r="CC17" s="18"/>
      <c r="CD17" s="110">
        <f>S17+2</f>
        <v>33</v>
      </c>
      <c r="CE17" s="75"/>
      <c r="CF17" s="18"/>
      <c r="CG17" s="76"/>
      <c r="CH17" s="75"/>
      <c r="CI17" s="18"/>
      <c r="CJ17" s="78">
        <v>13</v>
      </c>
      <c r="CK17" s="110">
        <f>AU17+1</f>
        <v>44</v>
      </c>
      <c r="CL17" s="79">
        <v>45</v>
      </c>
      <c r="CM17" s="18"/>
      <c r="CN17" s="110">
        <f>AH17+1</f>
        <v>60</v>
      </c>
      <c r="CO17" s="79">
        <v>60</v>
      </c>
      <c r="CP17" s="18"/>
      <c r="CQ17" s="110">
        <f>S17+1</f>
        <v>32</v>
      </c>
      <c r="CR17" s="75"/>
      <c r="CS17" s="18"/>
      <c r="CT17" s="76"/>
      <c r="CU17" s="75"/>
      <c r="CV17" s="18"/>
      <c r="CW17" s="78">
        <v>13</v>
      </c>
      <c r="CX17" s="79">
        <f>(AX17+BA17+BD17+BG17)/4</f>
        <v>33.25</v>
      </c>
      <c r="CY17" s="79">
        <f>(BK17+BN17+BQ17+BT17)/4</f>
        <v>32.5</v>
      </c>
      <c r="CZ17" s="79">
        <f>(BX17+CA17+CD17+CG17)/4</f>
        <v>34.75</v>
      </c>
      <c r="DA17" s="79">
        <f>(CK17+CN17+CQ17+CT17)/4</f>
        <v>34</v>
      </c>
      <c r="DB17" s="18"/>
      <c r="DC17" s="80">
        <f>SUM(CX17:DA17)/4</f>
        <v>33.625</v>
      </c>
      <c r="DD17" s="18"/>
      <c r="DE17" s="79">
        <f>DC17*0.5</f>
        <v>16.8125</v>
      </c>
      <c r="DF17" s="75"/>
      <c r="DG17" s="79">
        <f>DF17*0.5</f>
        <v>0</v>
      </c>
      <c r="DH17" s="81">
        <f>DG17+DE17</f>
        <v>16.8125</v>
      </c>
      <c r="DI17" s="18"/>
      <c r="DJ17" s="79">
        <f>DC17*0.3</f>
        <v>10.0875</v>
      </c>
      <c r="DK17" s="75"/>
      <c r="DL17" s="79">
        <f>DK17*0.7</f>
        <v>0</v>
      </c>
      <c r="DM17" s="81">
        <f>DL17+DJ17</f>
        <v>10.0875</v>
      </c>
    </row>
    <row r="18" ht="13.5" customHeight="1">
      <c r="A18" s="105"/>
      <c r="B18" s="106">
        <v>14</v>
      </c>
      <c r="C18" t="s" s="70">
        <v>305</v>
      </c>
      <c r="D18" t="s" s="162">
        <v>306</v>
      </c>
      <c r="E18" t="s" s="113">
        <v>43</v>
      </c>
      <c r="F18" t="s" s="83">
        <v>43</v>
      </c>
      <c r="G18" s="75"/>
      <c r="H18" s="163">
        <v>10</v>
      </c>
      <c r="I18" s="166">
        <v>8</v>
      </c>
      <c r="J18" s="79">
        <v>8</v>
      </c>
      <c r="K18" s="79">
        <v>15</v>
      </c>
      <c r="L18" s="79">
        <v>8</v>
      </c>
      <c r="M18" s="79">
        <v>0</v>
      </c>
      <c r="N18" s="79">
        <v>0</v>
      </c>
      <c r="O18" s="79">
        <v>0</v>
      </c>
      <c r="P18" s="79">
        <v>0</v>
      </c>
      <c r="Q18" s="79">
        <v>0</v>
      </c>
      <c r="R18" s="79">
        <v>5</v>
      </c>
      <c r="S18" s="79">
        <f>R18+Q18+P18+O18+N18+M18+L18+K18+J18+I18+H18</f>
        <v>54</v>
      </c>
      <c r="T18" s="75"/>
      <c r="U18" s="75"/>
      <c r="V18" t="s" s="72">
        <v>43</v>
      </c>
      <c r="W18" s="82"/>
      <c r="X18" t="s" s="72">
        <v>43</v>
      </c>
      <c r="Y18" t="s" s="113">
        <v>43</v>
      </c>
      <c r="Z18" s="75"/>
      <c r="AA18" s="163">
        <v>10</v>
      </c>
      <c r="AB18" s="165">
        <v>9</v>
      </c>
      <c r="AC18" s="79">
        <v>9</v>
      </c>
      <c r="AD18" s="110">
        <v>17</v>
      </c>
      <c r="AE18" s="79">
        <v>7</v>
      </c>
      <c r="AF18" s="110">
        <v>5</v>
      </c>
      <c r="AG18" s="79">
        <v>30</v>
      </c>
      <c r="AH18" s="108">
        <f>SUM(AA18:AF18)+AG18</f>
        <v>87</v>
      </c>
      <c r="AI18" s="76"/>
      <c r="AJ18" s="75"/>
      <c r="AK18" s="76"/>
      <c r="AL18" s="112">
        <v>14</v>
      </c>
      <c r="AM18" s="110">
        <v>10</v>
      </c>
      <c r="AN18" s="79">
        <v>13</v>
      </c>
      <c r="AO18" s="110">
        <v>20</v>
      </c>
      <c r="AP18" s="79">
        <v>0</v>
      </c>
      <c r="AQ18" s="79">
        <v>0</v>
      </c>
      <c r="AR18" s="110">
        <v>12</v>
      </c>
      <c r="AS18" s="79">
        <v>10</v>
      </c>
      <c r="AT18" s="77">
        <v>3</v>
      </c>
      <c r="AU18" s="77">
        <f>SUM(AM18:AT18)</f>
        <v>68</v>
      </c>
      <c r="AV18" s="18"/>
      <c r="AW18" s="78">
        <v>14</v>
      </c>
      <c r="AX18" s="110">
        <f>AU18+0</f>
        <v>68</v>
      </c>
      <c r="AY18" s="79">
        <v>75</v>
      </c>
      <c r="AZ18" s="18"/>
      <c r="BA18" s="110">
        <f>AH18</f>
        <v>87</v>
      </c>
      <c r="BB18" s="75"/>
      <c r="BC18" s="18"/>
      <c r="BD18" s="110">
        <f>S18</f>
        <v>54</v>
      </c>
      <c r="BE18" s="75"/>
      <c r="BF18" s="18"/>
      <c r="BG18" s="76"/>
      <c r="BH18" s="75"/>
      <c r="BI18" s="18"/>
      <c r="BJ18" s="78">
        <v>14</v>
      </c>
      <c r="BK18" s="110">
        <f>AU18-1</f>
        <v>67</v>
      </c>
      <c r="BL18" s="79">
        <v>75</v>
      </c>
      <c r="BM18" s="18"/>
      <c r="BN18" s="110">
        <f>AH18-1</f>
        <v>86</v>
      </c>
      <c r="BO18" s="75"/>
      <c r="BP18" s="18"/>
      <c r="BQ18" s="110">
        <f>S18-1</f>
        <v>53</v>
      </c>
      <c r="BR18" s="75"/>
      <c r="BS18" s="18"/>
      <c r="BT18" s="76"/>
      <c r="BU18" s="75"/>
      <c r="BV18" s="18"/>
      <c r="BW18" s="78">
        <v>14</v>
      </c>
      <c r="BX18" s="110">
        <f>AU18+2</f>
        <v>70</v>
      </c>
      <c r="BY18" s="75"/>
      <c r="BZ18" s="18"/>
      <c r="CA18" s="110">
        <f>AH18+2</f>
        <v>89</v>
      </c>
      <c r="CB18" s="75"/>
      <c r="CC18" s="18"/>
      <c r="CD18" s="110">
        <f>S18+2</f>
        <v>56</v>
      </c>
      <c r="CE18" s="75"/>
      <c r="CF18" s="18"/>
      <c r="CG18" s="76"/>
      <c r="CH18" s="75"/>
      <c r="CI18" s="18"/>
      <c r="CJ18" s="78">
        <v>14</v>
      </c>
      <c r="CK18" s="110">
        <f>AU18+1</f>
        <v>69</v>
      </c>
      <c r="CL18" s="79">
        <v>75</v>
      </c>
      <c r="CM18" s="18"/>
      <c r="CN18" s="110">
        <f>AH18+1</f>
        <v>88</v>
      </c>
      <c r="CO18" s="75"/>
      <c r="CP18" s="18"/>
      <c r="CQ18" s="110">
        <f>S18+1</f>
        <v>55</v>
      </c>
      <c r="CR18" s="75"/>
      <c r="CS18" s="18"/>
      <c r="CT18" s="76"/>
      <c r="CU18" s="75"/>
      <c r="CV18" s="18"/>
      <c r="CW18" s="78">
        <v>14</v>
      </c>
      <c r="CX18" s="79">
        <f>(AX18+BA18+BD18+BG18)/4</f>
        <v>52.25</v>
      </c>
      <c r="CY18" s="79">
        <f>(BK18+BN18+BQ18+BT18)/4</f>
        <v>51.5</v>
      </c>
      <c r="CZ18" s="79">
        <f>(BX18+CA18+CD18+CG18)/4</f>
        <v>53.75</v>
      </c>
      <c r="DA18" s="79">
        <f>(CK18+CN18+CQ18+CT18)/4</f>
        <v>53</v>
      </c>
      <c r="DB18" s="18"/>
      <c r="DC18" s="80">
        <f>SUM(CX18:DA18)/4</f>
        <v>52.625</v>
      </c>
      <c r="DD18" s="18"/>
      <c r="DE18" s="79">
        <f>DC18*0.5</f>
        <v>26.3125</v>
      </c>
      <c r="DF18" s="75"/>
      <c r="DG18" s="79">
        <f>DF18*0.5</f>
        <v>0</v>
      </c>
      <c r="DH18" s="81">
        <f>DG18+DE18</f>
        <v>26.3125</v>
      </c>
      <c r="DI18" s="18"/>
      <c r="DJ18" s="79">
        <f>DC18*0.3</f>
        <v>15.7875</v>
      </c>
      <c r="DK18" s="75"/>
      <c r="DL18" s="79">
        <f>DK18*0.7</f>
        <v>0</v>
      </c>
      <c r="DM18" s="81">
        <f>DL18+DJ18</f>
        <v>15.7875</v>
      </c>
    </row>
    <row r="19" ht="13.5" customHeight="1">
      <c r="A19" s="105"/>
      <c r="B19" s="106">
        <v>15</v>
      </c>
      <c r="C19" t="s" s="70">
        <v>307</v>
      </c>
      <c r="D19" t="s" s="162">
        <v>308</v>
      </c>
      <c r="E19" t="s" s="113">
        <v>43</v>
      </c>
      <c r="F19" t="s" s="83">
        <v>43</v>
      </c>
      <c r="G19" s="75"/>
      <c r="H19" s="163">
        <v>10</v>
      </c>
      <c r="I19" s="166">
        <v>8</v>
      </c>
      <c r="J19" s="79">
        <v>9</v>
      </c>
      <c r="K19" s="79">
        <v>0</v>
      </c>
      <c r="L19" s="79">
        <v>0</v>
      </c>
      <c r="M19" s="79">
        <v>10</v>
      </c>
      <c r="N19" s="79">
        <v>10</v>
      </c>
      <c r="O19" s="79">
        <v>8</v>
      </c>
      <c r="P19" s="79">
        <v>8</v>
      </c>
      <c r="Q19" s="163">
        <v>5</v>
      </c>
      <c r="R19" s="166">
        <v>5</v>
      </c>
      <c r="S19" s="79">
        <f>R19+Q19+P19+O19+N19+M19+L19+K19+J19+I19+H19</f>
        <v>73</v>
      </c>
      <c r="T19" s="75"/>
      <c r="U19" s="75"/>
      <c r="V19" t="s" s="72">
        <v>161</v>
      </c>
      <c r="W19" s="82"/>
      <c r="X19" t="s" s="72">
        <v>43</v>
      </c>
      <c r="Y19" t="s" s="113">
        <v>43</v>
      </c>
      <c r="Z19" s="75"/>
      <c r="AA19" s="163">
        <v>10</v>
      </c>
      <c r="AB19" s="165">
        <v>7</v>
      </c>
      <c r="AC19" s="79">
        <v>8</v>
      </c>
      <c r="AD19" s="110">
        <v>0</v>
      </c>
      <c r="AE19" s="79">
        <v>0</v>
      </c>
      <c r="AF19" s="110">
        <v>10</v>
      </c>
      <c r="AG19" s="79">
        <v>30</v>
      </c>
      <c r="AH19" s="108">
        <f>SUM(AA19:AF19)+AG19</f>
        <v>65</v>
      </c>
      <c r="AI19" s="76"/>
      <c r="AJ19" s="75"/>
      <c r="AK19" s="76"/>
      <c r="AL19" s="112">
        <v>15</v>
      </c>
      <c r="AM19" s="110">
        <v>10</v>
      </c>
      <c r="AN19" s="79">
        <v>8</v>
      </c>
      <c r="AO19" s="110">
        <v>20</v>
      </c>
      <c r="AP19" s="79">
        <v>8</v>
      </c>
      <c r="AQ19" s="79">
        <v>0</v>
      </c>
      <c r="AR19" s="110">
        <v>12</v>
      </c>
      <c r="AS19" s="79">
        <v>10</v>
      </c>
      <c r="AT19" s="77">
        <v>3</v>
      </c>
      <c r="AU19" s="77">
        <f>SUM(AM19:AT19)</f>
        <v>71</v>
      </c>
      <c r="AV19" s="18"/>
      <c r="AW19" s="78">
        <v>15</v>
      </c>
      <c r="AX19" s="110">
        <f>AU19+0</f>
        <v>71</v>
      </c>
      <c r="AY19" s="75"/>
      <c r="AZ19" s="18"/>
      <c r="BA19" s="110">
        <f>AH19</f>
        <v>65</v>
      </c>
      <c r="BB19" s="79">
        <v>65</v>
      </c>
      <c r="BC19" s="18"/>
      <c r="BD19" s="110">
        <f>S19</f>
        <v>73</v>
      </c>
      <c r="BE19" s="75"/>
      <c r="BF19" s="18"/>
      <c r="BG19" s="76"/>
      <c r="BH19" s="75"/>
      <c r="BI19" s="18"/>
      <c r="BJ19" s="78">
        <v>15</v>
      </c>
      <c r="BK19" s="110">
        <f>AU19-1</f>
        <v>70</v>
      </c>
      <c r="BL19" s="75"/>
      <c r="BM19" s="18"/>
      <c r="BN19" s="110">
        <f>AH19-1</f>
        <v>64</v>
      </c>
      <c r="BO19" s="79">
        <v>65</v>
      </c>
      <c r="BP19" s="18"/>
      <c r="BQ19" s="110">
        <f>S19-1</f>
        <v>72</v>
      </c>
      <c r="BR19" s="75"/>
      <c r="BS19" s="18"/>
      <c r="BT19" s="76"/>
      <c r="BU19" s="75"/>
      <c r="BV19" s="18"/>
      <c r="BW19" s="78">
        <v>15</v>
      </c>
      <c r="BX19" s="110">
        <f>AU19+2</f>
        <v>73</v>
      </c>
      <c r="BY19" s="75"/>
      <c r="BZ19" s="18"/>
      <c r="CA19" s="110">
        <f>AH19+2</f>
        <v>67</v>
      </c>
      <c r="CB19" s="79">
        <v>65</v>
      </c>
      <c r="CC19" s="18"/>
      <c r="CD19" s="110">
        <f>S19+2</f>
        <v>75</v>
      </c>
      <c r="CE19" s="75"/>
      <c r="CF19" s="18"/>
      <c r="CG19" s="76"/>
      <c r="CH19" s="75"/>
      <c r="CI19" s="18"/>
      <c r="CJ19" s="78">
        <v>15</v>
      </c>
      <c r="CK19" s="110">
        <f>AU19+1</f>
        <v>72</v>
      </c>
      <c r="CL19" s="75"/>
      <c r="CM19" s="18"/>
      <c r="CN19" s="110">
        <f>AH19+1</f>
        <v>66</v>
      </c>
      <c r="CO19" s="79">
        <v>65</v>
      </c>
      <c r="CP19" s="18"/>
      <c r="CQ19" s="110">
        <f>S19+1</f>
        <v>74</v>
      </c>
      <c r="CR19" s="75"/>
      <c r="CS19" s="18"/>
      <c r="CT19" s="76"/>
      <c r="CU19" s="75"/>
      <c r="CV19" s="18"/>
      <c r="CW19" s="78">
        <v>15</v>
      </c>
      <c r="CX19" s="79">
        <f>(AX19+BA19+BD19+BG19)/4</f>
        <v>52.25</v>
      </c>
      <c r="CY19" s="79">
        <f>(BK19+BN19+BQ19+BT19)/4</f>
        <v>51.5</v>
      </c>
      <c r="CZ19" s="79">
        <f>(BX19+CA19+CD19+CG19)/4</f>
        <v>53.75</v>
      </c>
      <c r="DA19" s="79">
        <f>(CK19+CN19+CQ19+CT19)/4</f>
        <v>53</v>
      </c>
      <c r="DB19" s="18"/>
      <c r="DC19" s="80">
        <f>SUM(CX19:DA19)/4</f>
        <v>52.625</v>
      </c>
      <c r="DD19" s="18"/>
      <c r="DE19" s="79">
        <f>DC19*0.5</f>
        <v>26.3125</v>
      </c>
      <c r="DF19" s="75"/>
      <c r="DG19" s="79">
        <f>DF19*0.5</f>
        <v>0</v>
      </c>
      <c r="DH19" s="81">
        <f>DG19+DE19</f>
        <v>26.3125</v>
      </c>
      <c r="DI19" s="18"/>
      <c r="DJ19" s="79">
        <f>DC19*0.3</f>
        <v>15.7875</v>
      </c>
      <c r="DK19" s="75"/>
      <c r="DL19" s="79">
        <f>DK19*0.7</f>
        <v>0</v>
      </c>
      <c r="DM19" s="81">
        <f>DL19+DJ19</f>
        <v>15.7875</v>
      </c>
    </row>
    <row r="20" ht="13.5" customHeight="1">
      <c r="A20" s="105"/>
      <c r="B20" s="106">
        <v>16</v>
      </c>
      <c r="C20" t="s" s="70">
        <v>309</v>
      </c>
      <c r="D20" t="s" s="162">
        <v>310</v>
      </c>
      <c r="E20" t="s" s="113">
        <v>43</v>
      </c>
      <c r="F20" t="s" s="83">
        <v>43</v>
      </c>
      <c r="G20" s="75"/>
      <c r="H20" s="163">
        <v>10</v>
      </c>
      <c r="I20" s="166">
        <v>8</v>
      </c>
      <c r="J20" s="79">
        <v>9</v>
      </c>
      <c r="K20" s="75"/>
      <c r="L20" s="75"/>
      <c r="M20" s="75"/>
      <c r="N20" s="75"/>
      <c r="O20" s="75"/>
      <c r="P20" s="75"/>
      <c r="Q20" s="75"/>
      <c r="R20" s="79">
        <v>5</v>
      </c>
      <c r="S20" s="79">
        <f>R20+Q20+P20+O20+N20+M20+L20+K20+J20+I20+H20</f>
        <v>32</v>
      </c>
      <c r="T20" s="75"/>
      <c r="U20" s="75"/>
      <c r="V20" t="s" s="72">
        <v>43</v>
      </c>
      <c r="W20" s="82"/>
      <c r="X20" t="s" s="72">
        <v>43</v>
      </c>
      <c r="Y20" t="s" s="113">
        <v>43</v>
      </c>
      <c r="Z20" s="75"/>
      <c r="AA20" s="163">
        <v>10</v>
      </c>
      <c r="AB20" s="165">
        <v>10</v>
      </c>
      <c r="AC20" s="79">
        <v>10</v>
      </c>
      <c r="AD20" s="110">
        <v>15</v>
      </c>
      <c r="AE20" s="79">
        <v>2</v>
      </c>
      <c r="AF20" s="110">
        <v>5</v>
      </c>
      <c r="AG20" s="79">
        <v>30</v>
      </c>
      <c r="AH20" s="108">
        <f>SUM(AA20:AF20)+AG20</f>
        <v>82</v>
      </c>
      <c r="AI20" s="76"/>
      <c r="AJ20" s="75"/>
      <c r="AK20" s="76"/>
      <c r="AL20" s="112">
        <v>16</v>
      </c>
      <c r="AM20" s="110">
        <v>10</v>
      </c>
      <c r="AN20" s="79">
        <v>12</v>
      </c>
      <c r="AO20" s="110">
        <v>20</v>
      </c>
      <c r="AP20" s="79">
        <v>0</v>
      </c>
      <c r="AQ20" s="79">
        <v>0</v>
      </c>
      <c r="AR20" s="110">
        <v>15</v>
      </c>
      <c r="AS20" s="79">
        <v>10</v>
      </c>
      <c r="AT20" s="77">
        <v>3</v>
      </c>
      <c r="AU20" s="77">
        <f>SUM(AM20:AT20)</f>
        <v>70</v>
      </c>
      <c r="AV20" s="18"/>
      <c r="AW20" s="78">
        <v>16</v>
      </c>
      <c r="AX20" s="110">
        <f>AU20+0</f>
        <v>70</v>
      </c>
      <c r="AY20" s="75"/>
      <c r="AZ20" s="18"/>
      <c r="BA20" s="110">
        <f>AH20</f>
        <v>82</v>
      </c>
      <c r="BB20" s="75"/>
      <c r="BC20" s="18"/>
      <c r="BD20" s="110">
        <f>S20</f>
        <v>32</v>
      </c>
      <c r="BE20" s="75"/>
      <c r="BF20" s="18"/>
      <c r="BG20" s="76"/>
      <c r="BH20" s="75"/>
      <c r="BI20" s="18"/>
      <c r="BJ20" s="78">
        <v>16</v>
      </c>
      <c r="BK20" s="110">
        <f>AU20-1</f>
        <v>69</v>
      </c>
      <c r="BL20" s="79">
        <v>70</v>
      </c>
      <c r="BM20" s="18"/>
      <c r="BN20" s="110">
        <f>AH20-1</f>
        <v>81</v>
      </c>
      <c r="BO20" s="75"/>
      <c r="BP20" s="18"/>
      <c r="BQ20" s="110">
        <f>S20-1</f>
        <v>31</v>
      </c>
      <c r="BR20" s="75"/>
      <c r="BS20" s="18"/>
      <c r="BT20" s="76"/>
      <c r="BU20" s="75"/>
      <c r="BV20" s="18"/>
      <c r="BW20" s="78">
        <v>16</v>
      </c>
      <c r="BX20" s="110">
        <f>AU20+2</f>
        <v>72</v>
      </c>
      <c r="BY20" s="75"/>
      <c r="BZ20" s="18"/>
      <c r="CA20" s="110">
        <f>AH20+2</f>
        <v>84</v>
      </c>
      <c r="CB20" s="75"/>
      <c r="CC20" s="18"/>
      <c r="CD20" s="110">
        <f>S20+2</f>
        <v>34</v>
      </c>
      <c r="CE20" s="75"/>
      <c r="CF20" s="18"/>
      <c r="CG20" s="76"/>
      <c r="CH20" s="75"/>
      <c r="CI20" s="18"/>
      <c r="CJ20" s="78">
        <v>16</v>
      </c>
      <c r="CK20" s="110">
        <f>AU20+1</f>
        <v>71</v>
      </c>
      <c r="CL20" s="75"/>
      <c r="CM20" s="18"/>
      <c r="CN20" s="110">
        <f>AH20+1</f>
        <v>83</v>
      </c>
      <c r="CO20" s="75"/>
      <c r="CP20" s="18"/>
      <c r="CQ20" s="110">
        <f>S20+1</f>
        <v>33</v>
      </c>
      <c r="CR20" s="75"/>
      <c r="CS20" s="18"/>
      <c r="CT20" s="76"/>
      <c r="CU20" s="75"/>
      <c r="CV20" s="18"/>
      <c r="CW20" s="78">
        <v>16</v>
      </c>
      <c r="CX20" s="79">
        <f>(AX20+BA20+BD20+BG20)/4</f>
        <v>46</v>
      </c>
      <c r="CY20" s="79">
        <f>(BK20+BN20+BQ20+BT20)/4</f>
        <v>45.25</v>
      </c>
      <c r="CZ20" s="79">
        <f>(BX20+CA20+CD20+CG20)/4</f>
        <v>47.5</v>
      </c>
      <c r="DA20" s="79">
        <f>(CK20+CN20+CQ20+CT20)/4</f>
        <v>46.75</v>
      </c>
      <c r="DB20" s="18"/>
      <c r="DC20" s="80">
        <f>SUM(CX20:DA20)/4</f>
        <v>46.375</v>
      </c>
      <c r="DD20" s="18"/>
      <c r="DE20" s="79">
        <f>DC20*0.5</f>
        <v>23.1875</v>
      </c>
      <c r="DF20" s="75"/>
      <c r="DG20" s="79">
        <f>DF20*0.5</f>
        <v>0</v>
      </c>
      <c r="DH20" s="81">
        <f>DG20+DE20</f>
        <v>23.1875</v>
      </c>
      <c r="DI20" s="18"/>
      <c r="DJ20" s="79">
        <f>DC20*0.3</f>
        <v>13.9125</v>
      </c>
      <c r="DK20" s="75"/>
      <c r="DL20" s="79">
        <f>DK20*0.7</f>
        <v>0</v>
      </c>
      <c r="DM20" s="81">
        <f>DL20+DJ20</f>
        <v>13.9125</v>
      </c>
    </row>
    <row r="21" ht="13.5" customHeight="1">
      <c r="A21" s="31">
        <v>1</v>
      </c>
      <c r="B21" s="106">
        <v>17</v>
      </c>
      <c r="C21" t="s" s="70">
        <v>311</v>
      </c>
      <c r="D21" t="s" s="162">
        <v>312</v>
      </c>
      <c r="E21" t="s" s="113">
        <v>43</v>
      </c>
      <c r="F21" t="s" s="83">
        <v>43</v>
      </c>
      <c r="G21" s="75"/>
      <c r="H21" s="163">
        <v>10</v>
      </c>
      <c r="I21" s="166">
        <v>7</v>
      </c>
      <c r="J21" s="79">
        <v>8</v>
      </c>
      <c r="K21" s="75"/>
      <c r="L21" s="75"/>
      <c r="M21" s="79">
        <v>0</v>
      </c>
      <c r="N21" s="79">
        <v>0</v>
      </c>
      <c r="O21" s="79">
        <v>0</v>
      </c>
      <c r="P21" s="79">
        <v>0</v>
      </c>
      <c r="Q21" s="79">
        <v>0</v>
      </c>
      <c r="R21" s="79">
        <v>5</v>
      </c>
      <c r="S21" s="79">
        <f>R21+Q21+P21+O21+N21+M21+L21+K21+J21+I21+H21</f>
        <v>30</v>
      </c>
      <c r="T21" s="75"/>
      <c r="U21" s="75"/>
      <c r="V21" t="s" s="72">
        <v>161</v>
      </c>
      <c r="W21" s="82"/>
      <c r="X21" t="s" s="72">
        <v>43</v>
      </c>
      <c r="Y21" t="s" s="113">
        <v>43</v>
      </c>
      <c r="Z21" s="75"/>
      <c r="AA21" s="163">
        <v>10</v>
      </c>
      <c r="AB21" s="165">
        <v>7</v>
      </c>
      <c r="AC21" s="79">
        <v>8</v>
      </c>
      <c r="AD21" s="110">
        <v>0</v>
      </c>
      <c r="AE21" s="79">
        <v>0</v>
      </c>
      <c r="AF21" s="110">
        <v>10</v>
      </c>
      <c r="AG21" s="79">
        <v>30</v>
      </c>
      <c r="AH21" s="108">
        <f>SUM(AA21:AF21)+AG21</f>
        <v>65</v>
      </c>
      <c r="AI21" s="76"/>
      <c r="AJ21" s="75"/>
      <c r="AK21" s="76"/>
      <c r="AL21" s="112">
        <v>17</v>
      </c>
      <c r="AM21" s="110">
        <v>8</v>
      </c>
      <c r="AN21" s="79">
        <v>8</v>
      </c>
      <c r="AO21" s="110">
        <v>20</v>
      </c>
      <c r="AP21" s="79">
        <v>8</v>
      </c>
      <c r="AQ21" s="79">
        <v>0</v>
      </c>
      <c r="AR21" s="110">
        <v>12</v>
      </c>
      <c r="AS21" s="79">
        <v>10</v>
      </c>
      <c r="AT21" s="77">
        <v>3</v>
      </c>
      <c r="AU21" s="77">
        <f>SUM(AM21:AT21)</f>
        <v>69</v>
      </c>
      <c r="AV21" s="18"/>
      <c r="AW21" s="78">
        <v>17</v>
      </c>
      <c r="AX21" s="110">
        <f>AU21+0</f>
        <v>69</v>
      </c>
      <c r="AY21" s="79">
        <v>69</v>
      </c>
      <c r="AZ21" s="18"/>
      <c r="BA21" s="110">
        <f>AH21</f>
        <v>65</v>
      </c>
      <c r="BB21" s="79">
        <v>65</v>
      </c>
      <c r="BC21" s="18"/>
      <c r="BD21" s="110">
        <f>S21</f>
        <v>30</v>
      </c>
      <c r="BE21" s="75"/>
      <c r="BF21" s="18"/>
      <c r="BG21" s="76"/>
      <c r="BH21" s="75"/>
      <c r="BI21" s="18"/>
      <c r="BJ21" s="78">
        <v>17</v>
      </c>
      <c r="BK21" s="110">
        <f>AU21-1</f>
        <v>68</v>
      </c>
      <c r="BL21" s="79">
        <v>69</v>
      </c>
      <c r="BM21" s="18"/>
      <c r="BN21" s="110">
        <f>AH21-1</f>
        <v>64</v>
      </c>
      <c r="BO21" s="79">
        <v>65</v>
      </c>
      <c r="BP21" s="18"/>
      <c r="BQ21" s="110">
        <f>S21-1</f>
        <v>29</v>
      </c>
      <c r="BR21" s="75"/>
      <c r="BS21" s="18"/>
      <c r="BT21" s="76"/>
      <c r="BU21" s="75"/>
      <c r="BV21" s="18"/>
      <c r="BW21" s="78">
        <v>17</v>
      </c>
      <c r="BX21" s="110">
        <f>AU21+2</f>
        <v>71</v>
      </c>
      <c r="BY21" s="75"/>
      <c r="BZ21" s="18"/>
      <c r="CA21" s="110">
        <f>AH21+2</f>
        <v>67</v>
      </c>
      <c r="CB21" s="79">
        <v>65</v>
      </c>
      <c r="CC21" s="18"/>
      <c r="CD21" s="110">
        <f>S21+2</f>
        <v>32</v>
      </c>
      <c r="CE21" s="75"/>
      <c r="CF21" s="18"/>
      <c r="CG21" s="76"/>
      <c r="CH21" s="75"/>
      <c r="CI21" s="18"/>
      <c r="CJ21" s="78">
        <v>17</v>
      </c>
      <c r="CK21" s="110">
        <f>AU21+1</f>
        <v>70</v>
      </c>
      <c r="CL21" s="75"/>
      <c r="CM21" s="18"/>
      <c r="CN21" s="110">
        <f>AH21+1</f>
        <v>66</v>
      </c>
      <c r="CO21" s="79">
        <v>65</v>
      </c>
      <c r="CP21" s="18"/>
      <c r="CQ21" s="110">
        <f>S21+1</f>
        <v>31</v>
      </c>
      <c r="CR21" s="75"/>
      <c r="CS21" s="18"/>
      <c r="CT21" s="76"/>
      <c r="CU21" s="75"/>
      <c r="CV21" s="18"/>
      <c r="CW21" s="78">
        <v>17</v>
      </c>
      <c r="CX21" s="79">
        <f>(AX21+BA21+BD21+BG21)/4</f>
        <v>41</v>
      </c>
      <c r="CY21" s="79">
        <f>(BK21+BN21+BQ21+BT21)/4</f>
        <v>40.25</v>
      </c>
      <c r="CZ21" s="79">
        <f>(BX21+CA21+CD21+CG21)/4</f>
        <v>42.5</v>
      </c>
      <c r="DA21" s="79">
        <f>(CK21+CN21+CQ21+CT21)/4</f>
        <v>41.75</v>
      </c>
      <c r="DB21" s="18"/>
      <c r="DC21" s="80">
        <f>SUM(CX21:DA21)/4</f>
        <v>41.375</v>
      </c>
      <c r="DD21" s="18"/>
      <c r="DE21" s="79">
        <f>DC21*0.5</f>
        <v>20.6875</v>
      </c>
      <c r="DF21" s="75"/>
      <c r="DG21" s="79">
        <f>DF21*0.5</f>
        <v>0</v>
      </c>
      <c r="DH21" s="81">
        <f>DG21+DE21</f>
        <v>20.6875</v>
      </c>
      <c r="DI21" s="18"/>
      <c r="DJ21" s="79">
        <f>DC21*0.3</f>
        <v>12.4125</v>
      </c>
      <c r="DK21" s="75"/>
      <c r="DL21" s="79">
        <f>DK21*0.7</f>
        <v>0</v>
      </c>
      <c r="DM21" s="81">
        <f>DL21+DJ21</f>
        <v>12.4125</v>
      </c>
    </row>
    <row r="22" ht="13.5" customHeight="1">
      <c r="A22" s="105"/>
      <c r="B22" s="106">
        <v>18</v>
      </c>
      <c r="C22" t="s" s="83">
        <v>313</v>
      </c>
      <c r="D22" t="s" s="72">
        <v>314</v>
      </c>
      <c r="E22" t="s" s="113">
        <v>43</v>
      </c>
      <c r="F22" t="s" s="83">
        <v>43</v>
      </c>
      <c r="G22" s="75"/>
      <c r="H22" s="163">
        <v>10</v>
      </c>
      <c r="I22" s="166">
        <v>7</v>
      </c>
      <c r="J22" s="79">
        <v>9</v>
      </c>
      <c r="K22" s="75"/>
      <c r="L22" s="75"/>
      <c r="M22" s="79">
        <v>0</v>
      </c>
      <c r="N22" s="79">
        <v>0</v>
      </c>
      <c r="O22" s="79">
        <v>0</v>
      </c>
      <c r="P22" s="79">
        <v>0</v>
      </c>
      <c r="Q22" s="79">
        <v>0</v>
      </c>
      <c r="R22" s="79">
        <v>5</v>
      </c>
      <c r="S22" s="79">
        <f>R22+Q22+P22+O22+N22+M22+L22+K22+J22+I22+H22</f>
        <v>31</v>
      </c>
      <c r="T22" s="75"/>
      <c r="U22" s="75"/>
      <c r="V22" t="s" s="72">
        <v>43</v>
      </c>
      <c r="W22" s="82"/>
      <c r="X22" t="s" s="72">
        <v>43</v>
      </c>
      <c r="Y22" t="s" s="113">
        <v>43</v>
      </c>
      <c r="Z22" s="167"/>
      <c r="AA22" s="133">
        <v>10</v>
      </c>
      <c r="AB22" s="168">
        <v>7</v>
      </c>
      <c r="AC22" s="133">
        <v>8</v>
      </c>
      <c r="AD22" s="134">
        <v>0</v>
      </c>
      <c r="AE22" s="79">
        <v>0</v>
      </c>
      <c r="AF22" s="110">
        <v>10</v>
      </c>
      <c r="AG22" s="79">
        <v>30</v>
      </c>
      <c r="AH22" s="108">
        <f>SUM(AA22:AF22)+AG22</f>
        <v>65</v>
      </c>
      <c r="AI22" s="76"/>
      <c r="AJ22" s="75"/>
      <c r="AK22" s="76"/>
      <c r="AL22" s="112">
        <v>18</v>
      </c>
      <c r="AM22" s="110">
        <v>8</v>
      </c>
      <c r="AN22" s="79">
        <v>8</v>
      </c>
      <c r="AO22" s="110">
        <v>20</v>
      </c>
      <c r="AP22" s="79">
        <v>8</v>
      </c>
      <c r="AQ22" s="79">
        <v>0</v>
      </c>
      <c r="AR22" s="110">
        <v>12</v>
      </c>
      <c r="AS22" s="79">
        <v>10</v>
      </c>
      <c r="AT22" s="77">
        <v>3</v>
      </c>
      <c r="AU22" s="77">
        <f>SUM(AM22:AT22)</f>
        <v>69</v>
      </c>
      <c r="AV22" s="18"/>
      <c r="AW22" s="78">
        <v>18</v>
      </c>
      <c r="AX22" s="110">
        <f>AU22+0</f>
        <v>69</v>
      </c>
      <c r="AY22" s="79">
        <v>69</v>
      </c>
      <c r="AZ22" s="18"/>
      <c r="BA22" s="110">
        <f>AH22</f>
        <v>65</v>
      </c>
      <c r="BB22" s="79">
        <v>65</v>
      </c>
      <c r="BC22" s="18"/>
      <c r="BD22" s="110">
        <f>S22</f>
        <v>31</v>
      </c>
      <c r="BE22" s="75"/>
      <c r="BF22" s="18"/>
      <c r="BG22" s="76"/>
      <c r="BH22" s="75"/>
      <c r="BI22" s="18"/>
      <c r="BJ22" s="78">
        <v>18</v>
      </c>
      <c r="BK22" s="110">
        <f>AU22-1</f>
        <v>68</v>
      </c>
      <c r="BL22" s="79">
        <v>69</v>
      </c>
      <c r="BM22" s="18"/>
      <c r="BN22" s="110">
        <f>AH22-1</f>
        <v>64</v>
      </c>
      <c r="BO22" s="79">
        <v>65</v>
      </c>
      <c r="BP22" s="18"/>
      <c r="BQ22" s="110">
        <f>S22-1</f>
        <v>30</v>
      </c>
      <c r="BR22" s="75"/>
      <c r="BS22" s="18"/>
      <c r="BT22" s="76"/>
      <c r="BU22" s="75"/>
      <c r="BV22" s="18"/>
      <c r="BW22" s="78">
        <v>18</v>
      </c>
      <c r="BX22" s="110">
        <f>AU22+2</f>
        <v>71</v>
      </c>
      <c r="BY22" s="75"/>
      <c r="BZ22" s="18"/>
      <c r="CA22" s="110">
        <f>AH22+2</f>
        <v>67</v>
      </c>
      <c r="CB22" s="79">
        <v>65</v>
      </c>
      <c r="CC22" s="18"/>
      <c r="CD22" s="110">
        <f>S22+2</f>
        <v>33</v>
      </c>
      <c r="CE22" s="75"/>
      <c r="CF22" s="18"/>
      <c r="CG22" s="76"/>
      <c r="CH22" s="75"/>
      <c r="CI22" s="18"/>
      <c r="CJ22" s="78">
        <v>18</v>
      </c>
      <c r="CK22" s="110">
        <f>AU22+1</f>
        <v>70</v>
      </c>
      <c r="CL22" s="75"/>
      <c r="CM22" s="18"/>
      <c r="CN22" s="110">
        <f>AH22+1</f>
        <v>66</v>
      </c>
      <c r="CO22" s="79">
        <v>65</v>
      </c>
      <c r="CP22" s="18"/>
      <c r="CQ22" s="110">
        <f>S22+1</f>
        <v>32</v>
      </c>
      <c r="CR22" s="75"/>
      <c r="CS22" s="18"/>
      <c r="CT22" s="76"/>
      <c r="CU22" s="75"/>
      <c r="CV22" s="18"/>
      <c r="CW22" s="78">
        <v>18</v>
      </c>
      <c r="CX22" s="79">
        <f>(AX22+BA22+BD22+BG22)/4</f>
        <v>41.25</v>
      </c>
      <c r="CY22" s="79">
        <f>(BK22+BN22+BQ22+BT22)/4</f>
        <v>40.5</v>
      </c>
      <c r="CZ22" s="79">
        <f>(BX22+CA22+CD22+CG22)/4</f>
        <v>42.75</v>
      </c>
      <c r="DA22" s="79">
        <f>(CK22+CN22+CQ22+CT22)/4</f>
        <v>42</v>
      </c>
      <c r="DB22" s="18"/>
      <c r="DC22" s="80">
        <f>SUM(CX22:DA22)/4</f>
        <v>41.625</v>
      </c>
      <c r="DD22" s="18"/>
      <c r="DE22" s="79">
        <f>DC22*0.5</f>
        <v>20.8125</v>
      </c>
      <c r="DF22" s="75"/>
      <c r="DG22" s="79">
        <f>DF22*0.5</f>
        <v>0</v>
      </c>
      <c r="DH22" s="81">
        <f>DG22+DE22</f>
        <v>20.8125</v>
      </c>
      <c r="DI22" s="18"/>
      <c r="DJ22" s="79">
        <f>DC22*0.3</f>
        <v>12.4875</v>
      </c>
      <c r="DK22" s="75"/>
      <c r="DL22" s="79">
        <f>DK22*0.7</f>
        <v>0</v>
      </c>
      <c r="DM22" s="81">
        <f>DL22+DJ22</f>
        <v>12.4875</v>
      </c>
    </row>
    <row r="23" ht="13.5" customHeight="1">
      <c r="A23" s="105"/>
      <c r="B23" s="106">
        <v>19</v>
      </c>
      <c r="C23" t="s" s="83">
        <v>315</v>
      </c>
      <c r="D23" t="s" s="72">
        <v>316</v>
      </c>
      <c r="E23" t="s" s="113">
        <v>43</v>
      </c>
      <c r="F23" t="s" s="83">
        <v>43</v>
      </c>
      <c r="G23" s="75"/>
      <c r="H23" s="163">
        <v>10</v>
      </c>
      <c r="I23" s="166">
        <v>8</v>
      </c>
      <c r="J23" s="79">
        <v>8</v>
      </c>
      <c r="K23" s="75"/>
      <c r="L23" s="75"/>
      <c r="M23" s="79">
        <v>0</v>
      </c>
      <c r="N23" s="79">
        <v>0</v>
      </c>
      <c r="O23" s="79">
        <v>0</v>
      </c>
      <c r="P23" s="79">
        <v>0</v>
      </c>
      <c r="Q23" s="79">
        <v>0</v>
      </c>
      <c r="R23" s="79">
        <v>5</v>
      </c>
      <c r="S23" s="79">
        <f>R23+Q23+P23+O23+N23+M23+L23+K23+J23+I23+H23</f>
        <v>31</v>
      </c>
      <c r="T23" s="75"/>
      <c r="U23" s="75"/>
      <c r="V23" t="s" s="72">
        <v>43</v>
      </c>
      <c r="W23" s="82"/>
      <c r="X23" t="s" s="72">
        <v>43</v>
      </c>
      <c r="Y23" t="s" s="113">
        <v>43</v>
      </c>
      <c r="Z23" s="75"/>
      <c r="AA23" s="163">
        <v>10</v>
      </c>
      <c r="AB23" s="165">
        <v>8</v>
      </c>
      <c r="AC23" s="79">
        <v>9</v>
      </c>
      <c r="AD23" s="110">
        <v>15</v>
      </c>
      <c r="AE23" s="79">
        <v>0</v>
      </c>
      <c r="AF23" s="110">
        <v>10</v>
      </c>
      <c r="AG23" s="79">
        <v>30</v>
      </c>
      <c r="AH23" s="108">
        <f>SUM(AA23:AF23)+AG23</f>
        <v>82</v>
      </c>
      <c r="AI23" s="76"/>
      <c r="AJ23" s="75"/>
      <c r="AK23" s="76"/>
      <c r="AL23" s="112">
        <v>19</v>
      </c>
      <c r="AM23" s="110">
        <v>8</v>
      </c>
      <c r="AN23" s="79">
        <v>8</v>
      </c>
      <c r="AO23" s="110">
        <v>20</v>
      </c>
      <c r="AP23" s="79">
        <v>8</v>
      </c>
      <c r="AQ23" s="79">
        <v>0</v>
      </c>
      <c r="AR23" s="110">
        <v>12</v>
      </c>
      <c r="AS23" s="79">
        <v>10</v>
      </c>
      <c r="AT23" s="77">
        <v>3</v>
      </c>
      <c r="AU23" s="77">
        <f>SUM(AM23:AT23)</f>
        <v>69</v>
      </c>
      <c r="AV23" s="18"/>
      <c r="AW23" s="78">
        <v>19</v>
      </c>
      <c r="AX23" s="110">
        <f>AU23+0</f>
        <v>69</v>
      </c>
      <c r="AY23" s="79">
        <v>75</v>
      </c>
      <c r="AZ23" s="18"/>
      <c r="BA23" s="110">
        <f>AH23</f>
        <v>82</v>
      </c>
      <c r="BB23" s="75"/>
      <c r="BC23" s="18"/>
      <c r="BD23" s="110">
        <f>S23</f>
        <v>31</v>
      </c>
      <c r="BE23" s="75"/>
      <c r="BF23" s="18"/>
      <c r="BG23" s="76"/>
      <c r="BH23" s="75"/>
      <c r="BI23" s="18"/>
      <c r="BJ23" s="78">
        <v>19</v>
      </c>
      <c r="BK23" s="110">
        <f>AU23-1</f>
        <v>68</v>
      </c>
      <c r="BL23" s="79">
        <v>75</v>
      </c>
      <c r="BM23" s="18"/>
      <c r="BN23" s="110">
        <f>AH23-1</f>
        <v>81</v>
      </c>
      <c r="BO23" s="75"/>
      <c r="BP23" s="18"/>
      <c r="BQ23" s="110">
        <f>S23-1</f>
        <v>30</v>
      </c>
      <c r="BR23" s="75"/>
      <c r="BS23" s="18"/>
      <c r="BT23" s="76"/>
      <c r="BU23" s="75"/>
      <c r="BV23" s="18"/>
      <c r="BW23" s="78">
        <v>19</v>
      </c>
      <c r="BX23" s="110">
        <f>AU23+2</f>
        <v>71</v>
      </c>
      <c r="BY23" s="75"/>
      <c r="BZ23" s="18"/>
      <c r="CA23" s="110">
        <f>AH23+2</f>
        <v>84</v>
      </c>
      <c r="CB23" s="75"/>
      <c r="CC23" s="18"/>
      <c r="CD23" s="110">
        <f>S23+2</f>
        <v>33</v>
      </c>
      <c r="CE23" s="75"/>
      <c r="CF23" s="18"/>
      <c r="CG23" s="76"/>
      <c r="CH23" s="75"/>
      <c r="CI23" s="18"/>
      <c r="CJ23" s="78">
        <v>19</v>
      </c>
      <c r="CK23" s="110">
        <f>AU23+1</f>
        <v>70</v>
      </c>
      <c r="CL23" s="75"/>
      <c r="CM23" s="18"/>
      <c r="CN23" s="110">
        <f>AH23+1</f>
        <v>83</v>
      </c>
      <c r="CO23" s="75"/>
      <c r="CP23" s="18"/>
      <c r="CQ23" s="110">
        <f>S23+1</f>
        <v>32</v>
      </c>
      <c r="CR23" s="75"/>
      <c r="CS23" s="18"/>
      <c r="CT23" s="76"/>
      <c r="CU23" s="75"/>
      <c r="CV23" s="18"/>
      <c r="CW23" s="78">
        <v>19</v>
      </c>
      <c r="CX23" s="79">
        <f>(AX23+BA23+BD23+BG23)/4</f>
        <v>45.5</v>
      </c>
      <c r="CY23" s="79">
        <f>(BK23+BN23+BQ23+BT23)/4</f>
        <v>44.75</v>
      </c>
      <c r="CZ23" s="79">
        <f>(BX23+CA23+CD23+CG23)/4</f>
        <v>47</v>
      </c>
      <c r="DA23" s="79">
        <f>(CK23+CN23+CQ23+CT23)/4</f>
        <v>46.25</v>
      </c>
      <c r="DB23" s="18"/>
      <c r="DC23" s="80">
        <f>SUM(CX23:DA23)/4</f>
        <v>45.875</v>
      </c>
      <c r="DD23" s="18"/>
      <c r="DE23" s="79">
        <f>DC23*0.5</f>
        <v>22.9375</v>
      </c>
      <c r="DF23" s="75"/>
      <c r="DG23" s="79">
        <f>DF23*0.5</f>
        <v>0</v>
      </c>
      <c r="DH23" s="81">
        <f>DG23+DE23</f>
        <v>22.9375</v>
      </c>
      <c r="DI23" s="18"/>
      <c r="DJ23" s="79">
        <f>DC23*0.3</f>
        <v>13.7625</v>
      </c>
      <c r="DK23" s="75"/>
      <c r="DL23" s="79">
        <f>DK23*0.7</f>
        <v>0</v>
      </c>
      <c r="DM23" s="81">
        <f>DL23+DJ23</f>
        <v>13.7625</v>
      </c>
    </row>
    <row r="24" ht="13.5" customHeight="1">
      <c r="A24" s="31">
        <v>1</v>
      </c>
      <c r="B24" s="106">
        <v>20</v>
      </c>
      <c r="C24" t="s" s="70">
        <v>317</v>
      </c>
      <c r="D24" t="s" s="162">
        <v>318</v>
      </c>
      <c r="E24" t="s" s="113">
        <v>43</v>
      </c>
      <c r="F24" t="s" s="83">
        <v>43</v>
      </c>
      <c r="G24" s="75"/>
      <c r="H24" s="163">
        <v>10</v>
      </c>
      <c r="I24" s="166">
        <v>8</v>
      </c>
      <c r="J24" s="79">
        <v>9</v>
      </c>
      <c r="K24" s="75"/>
      <c r="L24" s="75"/>
      <c r="M24" s="79">
        <v>0</v>
      </c>
      <c r="N24" s="79">
        <v>0</v>
      </c>
      <c r="O24" s="79">
        <v>0</v>
      </c>
      <c r="P24" s="79">
        <v>0</v>
      </c>
      <c r="Q24" s="79">
        <v>0</v>
      </c>
      <c r="R24" s="79">
        <v>5</v>
      </c>
      <c r="S24" s="79">
        <f>R24+Q24+P24+O24+N24+M24+L24+K24+J24+I24+H24</f>
        <v>32</v>
      </c>
      <c r="T24" s="75"/>
      <c r="U24" s="75"/>
      <c r="V24" t="s" s="72">
        <v>43</v>
      </c>
      <c r="W24" s="82"/>
      <c r="X24" t="s" s="72">
        <v>43</v>
      </c>
      <c r="Y24" t="s" s="113">
        <v>43</v>
      </c>
      <c r="Z24" s="75"/>
      <c r="AA24" s="163">
        <v>10</v>
      </c>
      <c r="AB24" s="165">
        <v>8</v>
      </c>
      <c r="AC24" s="79">
        <v>8</v>
      </c>
      <c r="AD24" s="110">
        <v>0</v>
      </c>
      <c r="AE24" s="79">
        <v>0</v>
      </c>
      <c r="AF24" s="110">
        <v>5</v>
      </c>
      <c r="AG24" s="79">
        <v>30</v>
      </c>
      <c r="AH24" s="108">
        <f>SUM(AA24:AF24)+AG24</f>
        <v>61</v>
      </c>
      <c r="AI24" s="76"/>
      <c r="AJ24" s="75"/>
      <c r="AK24" s="76"/>
      <c r="AL24" s="112">
        <v>20</v>
      </c>
      <c r="AM24" s="110">
        <v>8</v>
      </c>
      <c r="AN24" s="79">
        <v>8</v>
      </c>
      <c r="AO24" s="110">
        <v>20</v>
      </c>
      <c r="AP24" s="79">
        <v>8</v>
      </c>
      <c r="AQ24" s="79">
        <v>0</v>
      </c>
      <c r="AR24" s="110">
        <v>12</v>
      </c>
      <c r="AS24" s="79">
        <v>10</v>
      </c>
      <c r="AT24" s="77">
        <v>3</v>
      </c>
      <c r="AU24" s="77">
        <f>SUM(AM24:AT24)</f>
        <v>69</v>
      </c>
      <c r="AV24" s="18"/>
      <c r="AW24" s="78">
        <v>20</v>
      </c>
      <c r="AX24" s="110">
        <f>AU24+0</f>
        <v>69</v>
      </c>
      <c r="AY24" s="79">
        <v>69</v>
      </c>
      <c r="AZ24" s="18"/>
      <c r="BA24" s="110">
        <f>AH24</f>
        <v>61</v>
      </c>
      <c r="BB24" s="79">
        <v>65</v>
      </c>
      <c r="BC24" s="18"/>
      <c r="BD24" s="110">
        <f>S24</f>
        <v>32</v>
      </c>
      <c r="BE24" s="75"/>
      <c r="BF24" s="18"/>
      <c r="BG24" s="76"/>
      <c r="BH24" s="75"/>
      <c r="BI24" s="18"/>
      <c r="BJ24" s="78">
        <v>20</v>
      </c>
      <c r="BK24" s="110">
        <f>AU24-1</f>
        <v>68</v>
      </c>
      <c r="BL24" s="79">
        <v>69</v>
      </c>
      <c r="BM24" s="18"/>
      <c r="BN24" s="110">
        <f>AH24-1</f>
        <v>60</v>
      </c>
      <c r="BO24" s="79">
        <v>65</v>
      </c>
      <c r="BP24" s="18"/>
      <c r="BQ24" s="110">
        <f>S24-1</f>
        <v>31</v>
      </c>
      <c r="BR24" s="75"/>
      <c r="BS24" s="18"/>
      <c r="BT24" s="76"/>
      <c r="BU24" s="75"/>
      <c r="BV24" s="18"/>
      <c r="BW24" s="78">
        <v>20</v>
      </c>
      <c r="BX24" s="110">
        <f>AU24+2</f>
        <v>71</v>
      </c>
      <c r="BY24" s="75"/>
      <c r="BZ24" s="18"/>
      <c r="CA24" s="110">
        <f>AH24+2</f>
        <v>63</v>
      </c>
      <c r="CB24" s="79">
        <v>65</v>
      </c>
      <c r="CC24" s="18"/>
      <c r="CD24" s="110">
        <f>S24+2</f>
        <v>34</v>
      </c>
      <c r="CE24" s="75"/>
      <c r="CF24" s="18"/>
      <c r="CG24" s="76"/>
      <c r="CH24" s="75"/>
      <c r="CI24" s="18"/>
      <c r="CJ24" s="78">
        <v>20</v>
      </c>
      <c r="CK24" s="110">
        <f>AU24+1</f>
        <v>70</v>
      </c>
      <c r="CL24" s="75"/>
      <c r="CM24" s="18"/>
      <c r="CN24" s="110">
        <f>AH24+1</f>
        <v>62</v>
      </c>
      <c r="CO24" s="79">
        <v>65</v>
      </c>
      <c r="CP24" s="18"/>
      <c r="CQ24" s="110">
        <f>S24+1</f>
        <v>33</v>
      </c>
      <c r="CR24" s="75"/>
      <c r="CS24" s="18"/>
      <c r="CT24" s="76"/>
      <c r="CU24" s="75"/>
      <c r="CV24" s="18"/>
      <c r="CW24" s="78">
        <v>20</v>
      </c>
      <c r="CX24" s="79">
        <f>(AX24+BA24+BD24+BG24)/4</f>
        <v>40.5</v>
      </c>
      <c r="CY24" s="79">
        <f>(BK24+BN24+BQ24+BT24)/4</f>
        <v>39.75</v>
      </c>
      <c r="CZ24" s="79">
        <f>(BX24+CA24+CD24+CG24)/4</f>
        <v>42</v>
      </c>
      <c r="DA24" s="79">
        <f>(CK24+CN24+CQ24+CT24)/4</f>
        <v>41.25</v>
      </c>
      <c r="DB24" s="18"/>
      <c r="DC24" s="80">
        <f>SUM(CX24:DA24)/4</f>
        <v>40.875</v>
      </c>
      <c r="DD24" s="18"/>
      <c r="DE24" s="79">
        <f>DC24*0.5</f>
        <v>20.4375</v>
      </c>
      <c r="DF24" s="75"/>
      <c r="DG24" s="79">
        <f>DF24*0.5</f>
        <v>0</v>
      </c>
      <c r="DH24" s="81">
        <f>DG24+DE24</f>
        <v>20.4375</v>
      </c>
      <c r="DI24" s="18"/>
      <c r="DJ24" s="79">
        <f>DC24*0.3</f>
        <v>12.2625</v>
      </c>
      <c r="DK24" s="75"/>
      <c r="DL24" s="79">
        <f>DK24*0.7</f>
        <v>0</v>
      </c>
      <c r="DM24" s="81">
        <f>DL24+DJ24</f>
        <v>12.2625</v>
      </c>
    </row>
    <row r="25" ht="13.5" customHeight="1">
      <c r="A25" s="31">
        <v>1</v>
      </c>
      <c r="B25" s="106">
        <v>21</v>
      </c>
      <c r="C25" t="s" s="70">
        <v>319</v>
      </c>
      <c r="D25" t="s" s="162">
        <v>320</v>
      </c>
      <c r="E25" t="s" s="113">
        <v>43</v>
      </c>
      <c r="F25" t="s" s="83">
        <v>43</v>
      </c>
      <c r="G25" s="75"/>
      <c r="H25" s="163">
        <v>10</v>
      </c>
      <c r="I25" s="166">
        <v>7</v>
      </c>
      <c r="J25" s="79">
        <v>9</v>
      </c>
      <c r="K25" s="79">
        <v>18</v>
      </c>
      <c r="L25" s="79">
        <v>9</v>
      </c>
      <c r="M25" s="79">
        <v>8</v>
      </c>
      <c r="N25" s="79">
        <v>9</v>
      </c>
      <c r="O25" s="79">
        <v>9</v>
      </c>
      <c r="P25" s="79">
        <v>8</v>
      </c>
      <c r="Q25" s="79">
        <v>4</v>
      </c>
      <c r="R25" s="79">
        <v>5</v>
      </c>
      <c r="S25" s="79">
        <f>R25+Q25+P25+O25+N25+M25+L25+K25+J25+I25+H25</f>
        <v>96</v>
      </c>
      <c r="T25" s="75"/>
      <c r="U25" s="75"/>
      <c r="V25" t="s" s="72">
        <v>43</v>
      </c>
      <c r="W25" s="82"/>
      <c r="X25" t="s" s="72">
        <v>43</v>
      </c>
      <c r="Y25" t="s" s="113">
        <v>43</v>
      </c>
      <c r="Z25" s="75"/>
      <c r="AA25" s="163">
        <v>10</v>
      </c>
      <c r="AB25" s="165">
        <v>9</v>
      </c>
      <c r="AC25" s="79">
        <v>10</v>
      </c>
      <c r="AD25" s="110">
        <v>18</v>
      </c>
      <c r="AE25" s="79">
        <v>8</v>
      </c>
      <c r="AF25" s="110">
        <v>8</v>
      </c>
      <c r="AG25" s="79">
        <v>30</v>
      </c>
      <c r="AH25" s="108">
        <f>SUM(AA25:AF25)+AG25</f>
        <v>93</v>
      </c>
      <c r="AI25" s="76"/>
      <c r="AJ25" s="75"/>
      <c r="AK25" s="76"/>
      <c r="AL25" s="112">
        <v>21</v>
      </c>
      <c r="AM25" s="110">
        <v>10</v>
      </c>
      <c r="AN25" s="79">
        <v>17</v>
      </c>
      <c r="AO25" s="110">
        <v>20</v>
      </c>
      <c r="AP25" s="79">
        <v>0</v>
      </c>
      <c r="AQ25" s="79">
        <v>10</v>
      </c>
      <c r="AR25" s="110">
        <v>14</v>
      </c>
      <c r="AS25" s="79">
        <v>10</v>
      </c>
      <c r="AT25" s="77">
        <v>3</v>
      </c>
      <c r="AU25" s="77">
        <f>SUM(AM25:AT25)</f>
        <v>84</v>
      </c>
      <c r="AV25" s="18"/>
      <c r="AW25" s="78">
        <v>21</v>
      </c>
      <c r="AX25" s="110">
        <f>AU25+0</f>
        <v>84</v>
      </c>
      <c r="AY25" s="75"/>
      <c r="AZ25" s="18"/>
      <c r="BA25" s="110">
        <f>AH25</f>
        <v>93</v>
      </c>
      <c r="BB25" s="75"/>
      <c r="BC25" s="18"/>
      <c r="BD25" s="110">
        <f>S25</f>
        <v>96</v>
      </c>
      <c r="BE25" s="75"/>
      <c r="BF25" s="18"/>
      <c r="BG25" s="76"/>
      <c r="BH25" s="75"/>
      <c r="BI25" s="18"/>
      <c r="BJ25" s="78">
        <v>21</v>
      </c>
      <c r="BK25" s="110">
        <f>AU25-1</f>
        <v>83</v>
      </c>
      <c r="BL25" s="75"/>
      <c r="BM25" s="18"/>
      <c r="BN25" s="110">
        <f>AH25-1</f>
        <v>92</v>
      </c>
      <c r="BO25" s="75"/>
      <c r="BP25" s="18"/>
      <c r="BQ25" s="110">
        <f>S25-1</f>
        <v>95</v>
      </c>
      <c r="BR25" s="75"/>
      <c r="BS25" s="18"/>
      <c r="BT25" s="76"/>
      <c r="BU25" s="75"/>
      <c r="BV25" s="18"/>
      <c r="BW25" s="78">
        <v>21</v>
      </c>
      <c r="BX25" s="110">
        <f>AU25+2</f>
        <v>86</v>
      </c>
      <c r="BY25" s="75"/>
      <c r="BZ25" s="18"/>
      <c r="CA25" s="110">
        <f>AH25+2</f>
        <v>95</v>
      </c>
      <c r="CB25" s="75"/>
      <c r="CC25" s="18"/>
      <c r="CD25" s="110">
        <f>S25+2</f>
        <v>98</v>
      </c>
      <c r="CE25" s="75"/>
      <c r="CF25" s="18"/>
      <c r="CG25" s="76"/>
      <c r="CH25" s="75"/>
      <c r="CI25" s="18"/>
      <c r="CJ25" s="78">
        <v>21</v>
      </c>
      <c r="CK25" s="110">
        <f>AU25+1</f>
        <v>85</v>
      </c>
      <c r="CL25" s="75"/>
      <c r="CM25" s="18"/>
      <c r="CN25" s="110">
        <f>AH25+1</f>
        <v>94</v>
      </c>
      <c r="CO25" s="75"/>
      <c r="CP25" s="18"/>
      <c r="CQ25" s="110">
        <f>S25+1</f>
        <v>97</v>
      </c>
      <c r="CR25" s="75"/>
      <c r="CS25" s="18"/>
      <c r="CT25" s="76"/>
      <c r="CU25" s="75"/>
      <c r="CV25" s="18"/>
      <c r="CW25" s="78">
        <v>21</v>
      </c>
      <c r="CX25" s="79">
        <f>(AX25+BA25+BD25+BG25)/4</f>
        <v>68.25</v>
      </c>
      <c r="CY25" s="79">
        <f>(BK25+BN25+BQ25+BT25)/4</f>
        <v>67.5</v>
      </c>
      <c r="CZ25" s="79">
        <f>(BX25+CA25+CD25+CG25)/4</f>
        <v>69.75</v>
      </c>
      <c r="DA25" s="79">
        <f>(CK25+CN25+CQ25+CT25)/4</f>
        <v>69</v>
      </c>
      <c r="DB25" s="18"/>
      <c r="DC25" s="80">
        <f>SUM(CX25:DA25)/4</f>
        <v>68.625</v>
      </c>
      <c r="DD25" s="18"/>
      <c r="DE25" s="79">
        <f>DC25*0.5</f>
        <v>34.3125</v>
      </c>
      <c r="DF25" s="75"/>
      <c r="DG25" s="79">
        <f>DF25*0.5</f>
        <v>0</v>
      </c>
      <c r="DH25" s="81">
        <f>DG25+DE25</f>
        <v>34.3125</v>
      </c>
      <c r="DI25" s="18"/>
      <c r="DJ25" s="79">
        <f>DC25*0.3</f>
        <v>20.5875</v>
      </c>
      <c r="DK25" s="75"/>
      <c r="DL25" s="79">
        <f>DK25*0.7</f>
        <v>0</v>
      </c>
      <c r="DM25" s="81">
        <f>DL25+DJ25</f>
        <v>20.5875</v>
      </c>
    </row>
    <row r="26" ht="13.5" customHeight="1">
      <c r="A26" s="105"/>
      <c r="B26" s="106">
        <v>22</v>
      </c>
      <c r="C26" t="s" s="70">
        <v>321</v>
      </c>
      <c r="D26" t="s" s="162">
        <v>322</v>
      </c>
      <c r="E26" t="s" s="113">
        <v>43</v>
      </c>
      <c r="F26" t="s" s="83">
        <v>161</v>
      </c>
      <c r="G26" s="75"/>
      <c r="H26" s="163">
        <v>10</v>
      </c>
      <c r="I26" s="166">
        <v>10</v>
      </c>
      <c r="J26" s="79">
        <v>10</v>
      </c>
      <c r="K26" s="75"/>
      <c r="L26" s="75"/>
      <c r="M26" s="79">
        <v>10</v>
      </c>
      <c r="N26" s="79">
        <v>10</v>
      </c>
      <c r="O26" s="79">
        <v>8</v>
      </c>
      <c r="P26" s="79">
        <v>8</v>
      </c>
      <c r="Q26" s="163">
        <v>5</v>
      </c>
      <c r="R26" s="166">
        <v>5</v>
      </c>
      <c r="S26" s="79">
        <f>R26+Q26+P26+O26+N26+M26+L26+K26+J26+I26+H26</f>
        <v>76</v>
      </c>
      <c r="T26" s="75"/>
      <c r="U26" s="75"/>
      <c r="V26" t="s" s="72">
        <v>43</v>
      </c>
      <c r="W26" s="82"/>
      <c r="X26" t="s" s="72">
        <v>43</v>
      </c>
      <c r="Y26" t="s" s="113">
        <v>43</v>
      </c>
      <c r="Z26" t="s" s="72">
        <v>323</v>
      </c>
      <c r="AA26" s="169"/>
      <c r="AB26" s="82"/>
      <c r="AC26" s="75"/>
      <c r="AD26" s="76"/>
      <c r="AE26" s="75"/>
      <c r="AF26" s="76"/>
      <c r="AG26" s="79">
        <v>30</v>
      </c>
      <c r="AH26" s="108">
        <f>SUM(AA26:AF26)+AG26</f>
        <v>30</v>
      </c>
      <c r="AI26" s="76"/>
      <c r="AJ26" s="75"/>
      <c r="AK26" s="76"/>
      <c r="AL26" s="112">
        <v>22</v>
      </c>
      <c r="AM26" s="110">
        <v>8</v>
      </c>
      <c r="AN26" s="79">
        <v>0</v>
      </c>
      <c r="AO26" s="110">
        <v>20</v>
      </c>
      <c r="AP26" s="79">
        <v>0</v>
      </c>
      <c r="AQ26" s="79">
        <v>0</v>
      </c>
      <c r="AR26" s="110">
        <v>13</v>
      </c>
      <c r="AS26" s="79">
        <v>10</v>
      </c>
      <c r="AT26" s="77">
        <v>3</v>
      </c>
      <c r="AU26" s="77">
        <f>SUM(AM26:AT26)</f>
        <v>54</v>
      </c>
      <c r="AV26" s="18"/>
      <c r="AW26" s="78">
        <v>22</v>
      </c>
      <c r="AX26" s="110">
        <f>AU26+0</f>
        <v>54</v>
      </c>
      <c r="AY26" s="79">
        <v>55</v>
      </c>
      <c r="AZ26" s="18"/>
      <c r="BA26" s="110">
        <f>AH26</f>
        <v>30</v>
      </c>
      <c r="BB26" s="79">
        <v>50</v>
      </c>
      <c r="BC26" s="18"/>
      <c r="BD26" s="110">
        <f>S26</f>
        <v>76</v>
      </c>
      <c r="BE26" s="75"/>
      <c r="BF26" s="18"/>
      <c r="BG26" s="76"/>
      <c r="BH26" s="75"/>
      <c r="BI26" s="18"/>
      <c r="BJ26" s="78">
        <v>22</v>
      </c>
      <c r="BK26" s="110">
        <f>AU26-1</f>
        <v>53</v>
      </c>
      <c r="BL26" s="79">
        <v>55</v>
      </c>
      <c r="BM26" s="18"/>
      <c r="BN26" s="110">
        <f>AH26-1</f>
        <v>29</v>
      </c>
      <c r="BO26" s="79">
        <v>50</v>
      </c>
      <c r="BP26" s="18"/>
      <c r="BQ26" s="110">
        <f>S26-1</f>
        <v>75</v>
      </c>
      <c r="BR26" s="75"/>
      <c r="BS26" s="18"/>
      <c r="BT26" s="76"/>
      <c r="BU26" s="75"/>
      <c r="BV26" s="18"/>
      <c r="BW26" s="78">
        <v>22</v>
      </c>
      <c r="BX26" s="110">
        <f>AU26+2</f>
        <v>56</v>
      </c>
      <c r="BY26" s="79">
        <v>56</v>
      </c>
      <c r="BZ26" s="18"/>
      <c r="CA26" s="110">
        <f>AH26+2</f>
        <v>32</v>
      </c>
      <c r="CB26" s="79">
        <v>50</v>
      </c>
      <c r="CC26" s="18"/>
      <c r="CD26" s="110">
        <f>S26+2</f>
        <v>78</v>
      </c>
      <c r="CE26" s="75"/>
      <c r="CF26" s="18"/>
      <c r="CG26" s="76"/>
      <c r="CH26" s="75"/>
      <c r="CI26" s="18"/>
      <c r="CJ26" s="78">
        <v>22</v>
      </c>
      <c r="CK26" s="110">
        <f>AU26+1</f>
        <v>55</v>
      </c>
      <c r="CL26" s="79">
        <v>56</v>
      </c>
      <c r="CM26" s="18"/>
      <c r="CN26" s="110">
        <f>AH26+1</f>
        <v>31</v>
      </c>
      <c r="CO26" s="79">
        <v>50</v>
      </c>
      <c r="CP26" s="18"/>
      <c r="CQ26" s="110">
        <f>S26+1</f>
        <v>77</v>
      </c>
      <c r="CR26" s="75"/>
      <c r="CS26" s="18"/>
      <c r="CT26" s="76"/>
      <c r="CU26" s="75"/>
      <c r="CV26" s="18"/>
      <c r="CW26" s="78">
        <v>22</v>
      </c>
      <c r="CX26" s="79">
        <f>(AX26+BA26+BD26+BG26)/4</f>
        <v>40</v>
      </c>
      <c r="CY26" s="79">
        <f>(BK26+BN26+BQ26+BT26)/4</f>
        <v>39.25</v>
      </c>
      <c r="CZ26" s="79">
        <f>(BX26+CA26+CD26+CG26)/4</f>
        <v>41.5</v>
      </c>
      <c r="DA26" s="79">
        <f>(CK26+CN26+CQ26+CT26)/4</f>
        <v>40.75</v>
      </c>
      <c r="DB26" s="18"/>
      <c r="DC26" s="80">
        <f>SUM(CX26:DA26)/4</f>
        <v>40.375</v>
      </c>
      <c r="DD26" s="18"/>
      <c r="DE26" s="79">
        <f>DC26*0.5</f>
        <v>20.1875</v>
      </c>
      <c r="DF26" s="75"/>
      <c r="DG26" s="79">
        <f>DF26*0.5</f>
        <v>0</v>
      </c>
      <c r="DH26" s="81">
        <f>DG26+DE26</f>
        <v>20.1875</v>
      </c>
      <c r="DI26" s="18"/>
      <c r="DJ26" s="79">
        <f>DC26*0.3</f>
        <v>12.1125</v>
      </c>
      <c r="DK26" s="75"/>
      <c r="DL26" s="79">
        <f>DK26*0.7</f>
        <v>0</v>
      </c>
      <c r="DM26" s="81">
        <f>DL26+DJ26</f>
        <v>12.1125</v>
      </c>
    </row>
    <row r="27" ht="13.5" customHeight="1">
      <c r="A27" s="105"/>
      <c r="B27" s="106">
        <v>23</v>
      </c>
      <c r="C27" t="s" s="70">
        <v>324</v>
      </c>
      <c r="D27" t="s" s="162">
        <v>325</v>
      </c>
      <c r="E27" t="s" s="113">
        <v>43</v>
      </c>
      <c r="F27" t="s" s="83">
        <v>43</v>
      </c>
      <c r="G27" s="75"/>
      <c r="H27" s="163">
        <v>10</v>
      </c>
      <c r="I27" s="166">
        <v>10</v>
      </c>
      <c r="J27" s="79">
        <v>10</v>
      </c>
      <c r="K27" s="79">
        <v>19</v>
      </c>
      <c r="L27" s="79">
        <v>9</v>
      </c>
      <c r="M27" s="79">
        <v>10</v>
      </c>
      <c r="N27" s="79">
        <v>10</v>
      </c>
      <c r="O27" s="79">
        <v>7</v>
      </c>
      <c r="P27" s="79">
        <v>9</v>
      </c>
      <c r="Q27" s="79">
        <v>5</v>
      </c>
      <c r="R27" s="79">
        <v>5</v>
      </c>
      <c r="S27" s="79">
        <f>R27+Q27+P27+O27+N27+M27+L27+K27+J27+I27+H27</f>
        <v>104</v>
      </c>
      <c r="T27" s="75"/>
      <c r="U27" s="75"/>
      <c r="V27" t="s" s="72">
        <v>163</v>
      </c>
      <c r="W27" s="82"/>
      <c r="X27" t="s" s="72">
        <v>43</v>
      </c>
      <c r="Y27" t="s" s="113">
        <v>43</v>
      </c>
      <c r="Z27" t="s" s="83">
        <v>326</v>
      </c>
      <c r="AA27" s="163">
        <v>10</v>
      </c>
      <c r="AB27" s="165">
        <v>10</v>
      </c>
      <c r="AC27" s="79">
        <v>10</v>
      </c>
      <c r="AD27" s="110">
        <v>18</v>
      </c>
      <c r="AE27" s="79">
        <v>10</v>
      </c>
      <c r="AF27" s="110">
        <v>10</v>
      </c>
      <c r="AG27" s="79">
        <v>30</v>
      </c>
      <c r="AH27" s="108">
        <f>SUM(AA27:AF27)+AG27</f>
        <v>98</v>
      </c>
      <c r="AI27" s="76"/>
      <c r="AJ27" s="75"/>
      <c r="AK27" s="76"/>
      <c r="AL27" s="112">
        <v>23</v>
      </c>
      <c r="AM27" s="110">
        <v>10</v>
      </c>
      <c r="AN27" s="79">
        <v>20</v>
      </c>
      <c r="AO27" s="110">
        <v>20</v>
      </c>
      <c r="AP27" s="79">
        <v>8</v>
      </c>
      <c r="AQ27" s="79">
        <v>15</v>
      </c>
      <c r="AR27" s="110">
        <v>15</v>
      </c>
      <c r="AS27" s="79">
        <v>10</v>
      </c>
      <c r="AT27" s="77">
        <v>3</v>
      </c>
      <c r="AU27" s="77">
        <f>SUM(AM27:AT27)</f>
        <v>101</v>
      </c>
      <c r="AV27" s="18"/>
      <c r="AW27" s="78">
        <v>23</v>
      </c>
      <c r="AX27" s="110">
        <v>100</v>
      </c>
      <c r="AY27" s="75"/>
      <c r="AZ27" s="18"/>
      <c r="BA27" s="110">
        <f>AH27</f>
        <v>98</v>
      </c>
      <c r="BB27" s="75"/>
      <c r="BC27" s="18"/>
      <c r="BD27" s="110">
        <v>100</v>
      </c>
      <c r="BE27" s="75"/>
      <c r="BF27" s="18"/>
      <c r="BG27" s="76"/>
      <c r="BH27" s="75"/>
      <c r="BI27" s="18"/>
      <c r="BJ27" s="78">
        <v>23</v>
      </c>
      <c r="BK27" s="110">
        <f>AU27-1</f>
        <v>100</v>
      </c>
      <c r="BL27" s="75"/>
      <c r="BM27" s="18"/>
      <c r="BN27" s="110">
        <f>AH27-1</f>
        <v>97</v>
      </c>
      <c r="BO27" s="75"/>
      <c r="BP27" s="18"/>
      <c r="BQ27" s="110">
        <v>100</v>
      </c>
      <c r="BR27" s="75"/>
      <c r="BS27" s="18"/>
      <c r="BT27" s="76"/>
      <c r="BU27" s="75"/>
      <c r="BV27" s="18"/>
      <c r="BW27" s="78">
        <v>23</v>
      </c>
      <c r="BX27" s="110">
        <f>AU27+2</f>
        <v>103</v>
      </c>
      <c r="BY27" s="75"/>
      <c r="BZ27" s="18"/>
      <c r="CA27" s="110">
        <f>AH27+2</f>
        <v>100</v>
      </c>
      <c r="CB27" s="75"/>
      <c r="CC27" s="18"/>
      <c r="CD27" s="110">
        <v>100</v>
      </c>
      <c r="CE27" s="75"/>
      <c r="CF27" s="18"/>
      <c r="CG27" s="76"/>
      <c r="CH27" s="75"/>
      <c r="CI27" s="18"/>
      <c r="CJ27" s="78">
        <v>23</v>
      </c>
      <c r="CK27" s="110">
        <v>100</v>
      </c>
      <c r="CL27" s="75"/>
      <c r="CM27" s="18"/>
      <c r="CN27" s="110">
        <f>AH27+1</f>
        <v>99</v>
      </c>
      <c r="CO27" s="75"/>
      <c r="CP27" s="18"/>
      <c r="CQ27" s="110">
        <v>100</v>
      </c>
      <c r="CR27" s="75"/>
      <c r="CS27" s="18"/>
      <c r="CT27" s="76"/>
      <c r="CU27" s="75"/>
      <c r="CV27" s="18"/>
      <c r="CW27" s="78">
        <v>23</v>
      </c>
      <c r="CX27" s="79">
        <f>(AX27+BA27+BD27+BG27)/4</f>
        <v>74.5</v>
      </c>
      <c r="CY27" s="79">
        <f>(BK27+BN27+BQ27+BT27)/4</f>
        <v>74.25</v>
      </c>
      <c r="CZ27" s="79">
        <f>(BX27+CA27+CD27+CG27)/4</f>
        <v>75.75</v>
      </c>
      <c r="DA27" s="79">
        <f>(CK27+CN27+CQ27+CT27)/4</f>
        <v>74.75</v>
      </c>
      <c r="DB27" s="18"/>
      <c r="DC27" s="80">
        <f>SUM(CX27:DA27)/4</f>
        <v>74.8125</v>
      </c>
      <c r="DD27" s="18"/>
      <c r="DE27" s="79">
        <f>DC27*0.5</f>
        <v>37.40625</v>
      </c>
      <c r="DF27" s="75"/>
      <c r="DG27" s="79">
        <f>DF27*0.5</f>
        <v>0</v>
      </c>
      <c r="DH27" s="81">
        <f>DG27+DE27</f>
        <v>37.40625</v>
      </c>
      <c r="DI27" s="18"/>
      <c r="DJ27" s="79">
        <f>DC27*0.3</f>
        <v>22.44375</v>
      </c>
      <c r="DK27" s="75"/>
      <c r="DL27" s="79">
        <f>DK27*0.7</f>
        <v>0</v>
      </c>
      <c r="DM27" s="81">
        <f>DL27+DJ27</f>
        <v>22.44375</v>
      </c>
    </row>
    <row r="28" ht="13.5" customHeight="1">
      <c r="A28" s="31">
        <v>1</v>
      </c>
      <c r="B28" s="106">
        <v>24</v>
      </c>
      <c r="C28" t="s" s="70">
        <v>327</v>
      </c>
      <c r="D28" t="s" s="162">
        <v>328</v>
      </c>
      <c r="E28" t="s" s="113">
        <v>43</v>
      </c>
      <c r="F28" t="s" s="83">
        <v>163</v>
      </c>
      <c r="G28" s="75"/>
      <c r="H28" s="163">
        <v>10</v>
      </c>
      <c r="I28" s="166">
        <v>8</v>
      </c>
      <c r="J28" s="79">
        <v>8</v>
      </c>
      <c r="K28" s="75"/>
      <c r="L28" s="75"/>
      <c r="M28" s="79">
        <v>7</v>
      </c>
      <c r="N28" s="79">
        <v>10</v>
      </c>
      <c r="O28" s="79">
        <v>9</v>
      </c>
      <c r="P28" s="79">
        <v>8</v>
      </c>
      <c r="Q28" s="79">
        <v>5</v>
      </c>
      <c r="R28" s="79">
        <v>5</v>
      </c>
      <c r="S28" s="79">
        <f>R28+Q28+P28+O28+N28+M28+L28+K28+J28+I28+H28</f>
        <v>70</v>
      </c>
      <c r="T28" s="75"/>
      <c r="U28" s="75"/>
      <c r="V28" t="s" s="72">
        <v>43</v>
      </c>
      <c r="W28" s="82"/>
      <c r="X28" t="s" s="72">
        <v>43</v>
      </c>
      <c r="Y28" t="s" s="113">
        <v>43</v>
      </c>
      <c r="Z28" s="75"/>
      <c r="AA28" s="163">
        <v>10</v>
      </c>
      <c r="AB28" s="165">
        <v>9</v>
      </c>
      <c r="AC28" s="79">
        <v>9</v>
      </c>
      <c r="AD28" s="110">
        <v>20</v>
      </c>
      <c r="AE28" s="79">
        <v>10</v>
      </c>
      <c r="AF28" s="110">
        <v>10</v>
      </c>
      <c r="AG28" s="79">
        <v>30</v>
      </c>
      <c r="AH28" s="108">
        <f>SUM(AA28:AF28)+AG28</f>
        <v>98</v>
      </c>
      <c r="AI28" s="76"/>
      <c r="AJ28" s="75"/>
      <c r="AK28" s="76"/>
      <c r="AL28" s="112">
        <v>24</v>
      </c>
      <c r="AM28" s="110">
        <v>10</v>
      </c>
      <c r="AN28" s="79">
        <v>11</v>
      </c>
      <c r="AO28" s="110">
        <v>20</v>
      </c>
      <c r="AP28" s="79">
        <v>10</v>
      </c>
      <c r="AQ28" s="79">
        <v>0</v>
      </c>
      <c r="AR28" s="110">
        <v>14</v>
      </c>
      <c r="AS28" s="79">
        <v>10</v>
      </c>
      <c r="AT28" s="77">
        <v>3</v>
      </c>
      <c r="AU28" s="77">
        <f>SUM(AM28:AT28)</f>
        <v>78</v>
      </c>
      <c r="AV28" s="18"/>
      <c r="AW28" s="78">
        <v>24</v>
      </c>
      <c r="AX28" s="110">
        <f>AU28+0</f>
        <v>78</v>
      </c>
      <c r="AY28" s="75"/>
      <c r="AZ28" s="18"/>
      <c r="BA28" s="110">
        <f>AH28</f>
        <v>98</v>
      </c>
      <c r="BB28" s="75"/>
      <c r="BC28" s="18"/>
      <c r="BD28" s="110">
        <f>S28</f>
        <v>70</v>
      </c>
      <c r="BE28" s="75"/>
      <c r="BF28" s="18"/>
      <c r="BG28" s="76"/>
      <c r="BH28" s="75"/>
      <c r="BI28" s="18"/>
      <c r="BJ28" s="78">
        <v>24</v>
      </c>
      <c r="BK28" s="110">
        <f>AU28-1</f>
        <v>77</v>
      </c>
      <c r="BL28" s="75"/>
      <c r="BM28" s="18"/>
      <c r="BN28" s="110">
        <f>AH28-1</f>
        <v>97</v>
      </c>
      <c r="BO28" s="75"/>
      <c r="BP28" s="18"/>
      <c r="BQ28" s="110">
        <f>S28-1</f>
        <v>69</v>
      </c>
      <c r="BR28" s="75"/>
      <c r="BS28" s="18"/>
      <c r="BT28" s="76"/>
      <c r="BU28" s="75"/>
      <c r="BV28" s="18"/>
      <c r="BW28" s="78">
        <v>24</v>
      </c>
      <c r="BX28" s="110">
        <f>AU28+2</f>
        <v>80</v>
      </c>
      <c r="BY28" s="75"/>
      <c r="BZ28" s="18"/>
      <c r="CA28" s="110">
        <f>AH28+2</f>
        <v>100</v>
      </c>
      <c r="CB28" s="75"/>
      <c r="CC28" s="18"/>
      <c r="CD28" s="110">
        <f>S28+2</f>
        <v>72</v>
      </c>
      <c r="CE28" s="75"/>
      <c r="CF28" s="18"/>
      <c r="CG28" s="76"/>
      <c r="CH28" s="75"/>
      <c r="CI28" s="18"/>
      <c r="CJ28" s="78">
        <v>24</v>
      </c>
      <c r="CK28" s="110">
        <f>AU28+1</f>
        <v>79</v>
      </c>
      <c r="CL28" s="75"/>
      <c r="CM28" s="18"/>
      <c r="CN28" s="110">
        <f>AH28+1</f>
        <v>99</v>
      </c>
      <c r="CO28" s="75"/>
      <c r="CP28" s="18"/>
      <c r="CQ28" s="110">
        <f>S28+1</f>
        <v>71</v>
      </c>
      <c r="CR28" s="75"/>
      <c r="CS28" s="18"/>
      <c r="CT28" s="76"/>
      <c r="CU28" s="75"/>
      <c r="CV28" s="18"/>
      <c r="CW28" s="78">
        <v>24</v>
      </c>
      <c r="CX28" s="79">
        <f>(AX28+BA28+BD28+BG28)/4</f>
        <v>61.5</v>
      </c>
      <c r="CY28" s="79">
        <f>(BK28+BN28+BQ28+BT28)/4</f>
        <v>60.75</v>
      </c>
      <c r="CZ28" s="79">
        <f>(BX28+CA28+CD28+CG28)/4</f>
        <v>63</v>
      </c>
      <c r="DA28" s="79">
        <f>(CK28+CN28+CQ28+CT28)/4</f>
        <v>62.25</v>
      </c>
      <c r="DB28" s="18"/>
      <c r="DC28" s="80">
        <f>SUM(CX28:DA28)/4</f>
        <v>61.875</v>
      </c>
      <c r="DD28" s="18"/>
      <c r="DE28" s="79">
        <f>DC28*0.5</f>
        <v>30.9375</v>
      </c>
      <c r="DF28" s="75"/>
      <c r="DG28" s="79">
        <f>DF28*0.5</f>
        <v>0</v>
      </c>
      <c r="DH28" s="81">
        <f>DG28+DE28</f>
        <v>30.9375</v>
      </c>
      <c r="DI28" s="18"/>
      <c r="DJ28" s="79">
        <f>DC28*0.3</f>
        <v>18.5625</v>
      </c>
      <c r="DK28" s="75"/>
      <c r="DL28" s="79">
        <f>DK28*0.7</f>
        <v>0</v>
      </c>
      <c r="DM28" s="81">
        <f>DL28+DJ28</f>
        <v>18.5625</v>
      </c>
    </row>
    <row r="29" ht="13.5" customHeight="1">
      <c r="A29" s="105"/>
      <c r="B29" s="106">
        <v>25</v>
      </c>
      <c r="C29" t="s" s="70">
        <v>329</v>
      </c>
      <c r="D29" t="s" s="162">
        <v>330</v>
      </c>
      <c r="E29" t="s" s="113">
        <v>43</v>
      </c>
      <c r="F29" t="s" s="83">
        <v>43</v>
      </c>
      <c r="G29" s="75"/>
      <c r="H29" s="163">
        <v>10</v>
      </c>
      <c r="I29" s="166">
        <v>10</v>
      </c>
      <c r="J29" s="79">
        <v>10</v>
      </c>
      <c r="K29" s="79">
        <v>14</v>
      </c>
      <c r="L29" s="75"/>
      <c r="M29" s="79">
        <v>5</v>
      </c>
      <c r="N29" s="79">
        <v>7</v>
      </c>
      <c r="O29" s="79">
        <v>8</v>
      </c>
      <c r="P29" s="79">
        <v>7</v>
      </c>
      <c r="Q29" s="79">
        <v>3</v>
      </c>
      <c r="R29" s="79">
        <v>5</v>
      </c>
      <c r="S29" s="79">
        <f>R29+Q29+P29+O29+N29+M29+L29+K29+J29+I29+H29</f>
        <v>79</v>
      </c>
      <c r="T29" s="75"/>
      <c r="U29" s="75"/>
      <c r="V29" t="s" s="72">
        <v>43</v>
      </c>
      <c r="W29" s="82"/>
      <c r="X29" t="s" s="72">
        <v>43</v>
      </c>
      <c r="Y29" t="s" s="113">
        <v>43</v>
      </c>
      <c r="Z29" s="75"/>
      <c r="AA29" s="163">
        <v>10</v>
      </c>
      <c r="AB29" s="165">
        <v>9</v>
      </c>
      <c r="AC29" s="79">
        <v>10</v>
      </c>
      <c r="AD29" s="110">
        <v>20</v>
      </c>
      <c r="AE29" s="79">
        <v>10</v>
      </c>
      <c r="AF29" s="110">
        <v>5</v>
      </c>
      <c r="AG29" s="79">
        <v>30</v>
      </c>
      <c r="AH29" s="108">
        <f>SUM(AA29:AF29)+AG29</f>
        <v>94</v>
      </c>
      <c r="AI29" s="76"/>
      <c r="AJ29" s="75"/>
      <c r="AK29" s="76"/>
      <c r="AL29" s="112">
        <v>25</v>
      </c>
      <c r="AM29" s="110">
        <v>10</v>
      </c>
      <c r="AN29" s="79">
        <v>8</v>
      </c>
      <c r="AO29" s="110">
        <v>20</v>
      </c>
      <c r="AP29" s="79">
        <v>0</v>
      </c>
      <c r="AQ29" s="79">
        <v>0</v>
      </c>
      <c r="AR29" s="110">
        <v>14</v>
      </c>
      <c r="AS29" s="79">
        <v>10</v>
      </c>
      <c r="AT29" s="77">
        <v>3</v>
      </c>
      <c r="AU29" s="77">
        <f>SUM(AM29:AT29)</f>
        <v>65</v>
      </c>
      <c r="AV29" s="18"/>
      <c r="AW29" s="78">
        <v>25</v>
      </c>
      <c r="AX29" s="110">
        <f>AU29+0</f>
        <v>65</v>
      </c>
      <c r="AY29" s="79">
        <v>85</v>
      </c>
      <c r="AZ29" s="18"/>
      <c r="BA29" s="110">
        <f>AH29</f>
        <v>94</v>
      </c>
      <c r="BB29" s="75"/>
      <c r="BC29" s="18"/>
      <c r="BD29" s="110">
        <f>S29</f>
        <v>79</v>
      </c>
      <c r="BE29" s="75"/>
      <c r="BF29" s="18"/>
      <c r="BG29" s="76"/>
      <c r="BH29" s="75"/>
      <c r="BI29" s="18"/>
      <c r="BJ29" s="78">
        <v>25</v>
      </c>
      <c r="BK29" s="110">
        <f>AU29-1</f>
        <v>64</v>
      </c>
      <c r="BL29" s="79">
        <v>85</v>
      </c>
      <c r="BM29" s="18"/>
      <c r="BN29" s="110">
        <f>AH29-1</f>
        <v>93</v>
      </c>
      <c r="BO29" s="75"/>
      <c r="BP29" s="18"/>
      <c r="BQ29" s="110">
        <f>S29-1</f>
        <v>78</v>
      </c>
      <c r="BR29" s="75"/>
      <c r="BS29" s="18"/>
      <c r="BT29" s="76"/>
      <c r="BU29" s="75"/>
      <c r="BV29" s="18"/>
      <c r="BW29" s="78">
        <v>25</v>
      </c>
      <c r="BX29" s="110">
        <f>AU29+2</f>
        <v>67</v>
      </c>
      <c r="BY29" s="79">
        <v>85</v>
      </c>
      <c r="BZ29" s="18"/>
      <c r="CA29" s="110">
        <f>AH29+2</f>
        <v>96</v>
      </c>
      <c r="CB29" s="75"/>
      <c r="CC29" s="18"/>
      <c r="CD29" s="110">
        <f>S29+2</f>
        <v>81</v>
      </c>
      <c r="CE29" s="75"/>
      <c r="CF29" s="18"/>
      <c r="CG29" s="76"/>
      <c r="CH29" s="75"/>
      <c r="CI29" s="18"/>
      <c r="CJ29" s="78">
        <v>25</v>
      </c>
      <c r="CK29" s="110">
        <f>AU29+1</f>
        <v>66</v>
      </c>
      <c r="CL29" s="79">
        <v>85</v>
      </c>
      <c r="CM29" s="18"/>
      <c r="CN29" s="110">
        <f>AH29+1</f>
        <v>95</v>
      </c>
      <c r="CO29" s="75"/>
      <c r="CP29" s="18"/>
      <c r="CQ29" s="110">
        <f>S29+1</f>
        <v>80</v>
      </c>
      <c r="CR29" s="75"/>
      <c r="CS29" s="18"/>
      <c r="CT29" s="76"/>
      <c r="CU29" s="75"/>
      <c r="CV29" s="18"/>
      <c r="CW29" s="78">
        <v>25</v>
      </c>
      <c r="CX29" s="79">
        <f>(AX29+BA29+BD29+BG29)/4</f>
        <v>59.5</v>
      </c>
      <c r="CY29" s="79">
        <f>(BK29+BN29+BQ29+BT29)/4</f>
        <v>58.75</v>
      </c>
      <c r="CZ29" s="79">
        <f>(BX29+CA29+CD29+CG29)/4</f>
        <v>61</v>
      </c>
      <c r="DA29" s="79">
        <f>(CK29+CN29+CQ29+CT29)/4</f>
        <v>60.25</v>
      </c>
      <c r="DB29" s="18"/>
      <c r="DC29" s="80">
        <f>SUM(CX29:DA29)/4</f>
        <v>59.875</v>
      </c>
      <c r="DD29" s="18"/>
      <c r="DE29" s="79">
        <f>DC29*0.5</f>
        <v>29.9375</v>
      </c>
      <c r="DF29" s="75"/>
      <c r="DG29" s="79">
        <f>DF29*0.5</f>
        <v>0</v>
      </c>
      <c r="DH29" s="81">
        <f>DG29+DE29</f>
        <v>29.9375</v>
      </c>
      <c r="DI29" s="18"/>
      <c r="DJ29" s="79">
        <f>DC29*0.3</f>
        <v>17.9625</v>
      </c>
      <c r="DK29" s="75"/>
      <c r="DL29" s="79">
        <f>DK29*0.7</f>
        <v>0</v>
      </c>
      <c r="DM29" s="81">
        <f>DL29+DJ29</f>
        <v>17.9625</v>
      </c>
    </row>
    <row r="30" ht="13.5" customHeight="1">
      <c r="A30" s="31">
        <v>1</v>
      </c>
      <c r="B30" s="106">
        <v>26</v>
      </c>
      <c r="C30" t="s" s="70">
        <v>331</v>
      </c>
      <c r="D30" t="s" s="162">
        <v>332</v>
      </c>
      <c r="E30" t="s" s="113">
        <v>43</v>
      </c>
      <c r="F30" t="s" s="83">
        <v>43</v>
      </c>
      <c r="G30" s="75"/>
      <c r="H30" s="163">
        <v>10</v>
      </c>
      <c r="I30" s="166">
        <v>8</v>
      </c>
      <c r="J30" s="79">
        <v>8</v>
      </c>
      <c r="K30" s="79">
        <v>18</v>
      </c>
      <c r="L30" s="75"/>
      <c r="M30" s="79">
        <v>5</v>
      </c>
      <c r="N30" s="79">
        <v>6</v>
      </c>
      <c r="O30" s="79">
        <v>7</v>
      </c>
      <c r="P30" s="79">
        <v>5</v>
      </c>
      <c r="Q30" s="163">
        <v>2</v>
      </c>
      <c r="R30" s="166">
        <v>5</v>
      </c>
      <c r="S30" s="79">
        <f>R30+Q30+P30+O30+N30+M30+L30+K30+J30+I30+H30</f>
        <v>74</v>
      </c>
      <c r="T30" s="75"/>
      <c r="U30" s="75"/>
      <c r="V30" t="s" s="72">
        <v>43</v>
      </c>
      <c r="W30" s="82"/>
      <c r="X30" t="s" s="72">
        <v>43</v>
      </c>
      <c r="Y30" t="s" s="113">
        <v>43</v>
      </c>
      <c r="Z30" s="75"/>
      <c r="AA30" s="163">
        <v>10</v>
      </c>
      <c r="AB30" s="165">
        <v>8</v>
      </c>
      <c r="AC30" s="79">
        <v>8</v>
      </c>
      <c r="AD30" s="110">
        <v>0</v>
      </c>
      <c r="AE30" s="79">
        <v>0</v>
      </c>
      <c r="AF30" s="110">
        <v>5</v>
      </c>
      <c r="AG30" s="79">
        <v>30</v>
      </c>
      <c r="AH30" s="108">
        <f>SUM(AA30:AF30)+AG30</f>
        <v>61</v>
      </c>
      <c r="AI30" s="76"/>
      <c r="AJ30" s="75"/>
      <c r="AK30" s="76"/>
      <c r="AL30" s="112">
        <v>26</v>
      </c>
      <c r="AM30" s="110">
        <v>10</v>
      </c>
      <c r="AN30" s="79">
        <v>16</v>
      </c>
      <c r="AO30" s="110">
        <v>20</v>
      </c>
      <c r="AP30" s="79">
        <v>10</v>
      </c>
      <c r="AQ30" s="79">
        <v>15</v>
      </c>
      <c r="AR30" s="110">
        <v>13</v>
      </c>
      <c r="AS30" s="79">
        <v>10</v>
      </c>
      <c r="AT30" s="77">
        <v>3</v>
      </c>
      <c r="AU30" s="77">
        <f>SUM(AM30:AT30)</f>
        <v>97</v>
      </c>
      <c r="AV30" s="18"/>
      <c r="AW30" s="78">
        <v>26</v>
      </c>
      <c r="AX30" s="110">
        <f>AU30+0</f>
        <v>97</v>
      </c>
      <c r="AY30" s="75"/>
      <c r="AZ30" s="18"/>
      <c r="BA30" s="110">
        <f>AH30</f>
        <v>61</v>
      </c>
      <c r="BB30" s="79">
        <v>70</v>
      </c>
      <c r="BC30" s="18"/>
      <c r="BD30" s="110">
        <f>S30</f>
        <v>74</v>
      </c>
      <c r="BE30" s="75"/>
      <c r="BF30" s="18"/>
      <c r="BG30" s="76"/>
      <c r="BH30" s="75"/>
      <c r="BI30" s="18"/>
      <c r="BJ30" s="78">
        <v>26</v>
      </c>
      <c r="BK30" s="110">
        <f>AU30-1</f>
        <v>96</v>
      </c>
      <c r="BL30" s="75"/>
      <c r="BM30" s="18"/>
      <c r="BN30" s="110">
        <f>AH30-1</f>
        <v>60</v>
      </c>
      <c r="BO30" s="79">
        <v>70</v>
      </c>
      <c r="BP30" s="18"/>
      <c r="BQ30" s="110">
        <f>S30-1</f>
        <v>73</v>
      </c>
      <c r="BR30" s="75"/>
      <c r="BS30" s="18"/>
      <c r="BT30" s="76"/>
      <c r="BU30" s="75"/>
      <c r="BV30" s="18"/>
      <c r="BW30" s="78">
        <v>26</v>
      </c>
      <c r="BX30" s="110">
        <f>AU30+2</f>
        <v>99</v>
      </c>
      <c r="BY30" s="75"/>
      <c r="BZ30" s="18"/>
      <c r="CA30" s="110">
        <f>AH30+2</f>
        <v>63</v>
      </c>
      <c r="CB30" s="79">
        <v>70</v>
      </c>
      <c r="CC30" s="18"/>
      <c r="CD30" s="110">
        <f>S30+2</f>
        <v>76</v>
      </c>
      <c r="CE30" s="75"/>
      <c r="CF30" s="18"/>
      <c r="CG30" s="76"/>
      <c r="CH30" s="75"/>
      <c r="CI30" s="18"/>
      <c r="CJ30" s="78">
        <v>26</v>
      </c>
      <c r="CK30" s="110">
        <f>AU30+1</f>
        <v>98</v>
      </c>
      <c r="CL30" s="75"/>
      <c r="CM30" s="18"/>
      <c r="CN30" s="110">
        <f>AH30+1</f>
        <v>62</v>
      </c>
      <c r="CO30" s="79">
        <v>70</v>
      </c>
      <c r="CP30" s="18"/>
      <c r="CQ30" s="110">
        <f>S30+1</f>
        <v>75</v>
      </c>
      <c r="CR30" s="75"/>
      <c r="CS30" s="18"/>
      <c r="CT30" s="76"/>
      <c r="CU30" s="75"/>
      <c r="CV30" s="18"/>
      <c r="CW30" s="78">
        <v>26</v>
      </c>
      <c r="CX30" s="79">
        <f>(AX30+BA30+BD30+BG30)/4</f>
        <v>58</v>
      </c>
      <c r="CY30" s="79">
        <f>(BK30+BN30+BQ30+BT30)/4</f>
        <v>57.25</v>
      </c>
      <c r="CZ30" s="79">
        <f>(BX30+CA30+CD30+CG30)/4</f>
        <v>59.5</v>
      </c>
      <c r="DA30" s="79">
        <f>(CK30+CN30+CQ30+CT30)/4</f>
        <v>58.75</v>
      </c>
      <c r="DB30" s="18"/>
      <c r="DC30" s="80">
        <f>SUM(CX30:DA30)/4</f>
        <v>58.375</v>
      </c>
      <c r="DD30" s="18"/>
      <c r="DE30" s="79">
        <f>DC30*0.5</f>
        <v>29.1875</v>
      </c>
      <c r="DF30" s="75"/>
      <c r="DG30" s="79">
        <f>DF30*0.5</f>
        <v>0</v>
      </c>
      <c r="DH30" s="81">
        <f>DG30+DE30</f>
        <v>29.1875</v>
      </c>
      <c r="DI30" s="18"/>
      <c r="DJ30" s="79">
        <f>DC30*0.3</f>
        <v>17.5125</v>
      </c>
      <c r="DK30" s="75"/>
      <c r="DL30" s="79">
        <f>DK30*0.7</f>
        <v>0</v>
      </c>
      <c r="DM30" s="81">
        <f>DL30+DJ30</f>
        <v>17.5125</v>
      </c>
    </row>
    <row r="31" ht="13.5" customHeight="1">
      <c r="A31" s="105"/>
      <c r="B31" s="106">
        <v>27</v>
      </c>
      <c r="C31" t="s" s="70">
        <v>333</v>
      </c>
      <c r="D31" t="s" s="71">
        <v>334</v>
      </c>
      <c r="E31" t="s" s="170">
        <v>43</v>
      </c>
      <c r="F31" t="s" s="83">
        <v>43</v>
      </c>
      <c r="G31" s="75"/>
      <c r="H31" s="163">
        <v>10</v>
      </c>
      <c r="I31" s="166">
        <v>10</v>
      </c>
      <c r="J31" s="79">
        <v>10</v>
      </c>
      <c r="K31" s="79">
        <v>19</v>
      </c>
      <c r="L31" s="79">
        <v>0</v>
      </c>
      <c r="M31" s="79">
        <v>10</v>
      </c>
      <c r="N31" s="79">
        <v>10</v>
      </c>
      <c r="O31" s="79">
        <v>10</v>
      </c>
      <c r="P31" s="163">
        <v>10</v>
      </c>
      <c r="Q31" s="171"/>
      <c r="R31" s="79">
        <v>5</v>
      </c>
      <c r="S31" s="79">
        <f>R31+Q31+P31+O31+N31+M31+L31+K31+J31+I31+H31</f>
        <v>94</v>
      </c>
      <c r="T31" s="75"/>
      <c r="U31" s="75"/>
      <c r="V31" t="s" s="72">
        <v>43</v>
      </c>
      <c r="W31" s="82"/>
      <c r="X31" t="s" s="72">
        <v>43</v>
      </c>
      <c r="Y31" t="s" s="113">
        <v>43</v>
      </c>
      <c r="Z31" s="75"/>
      <c r="AA31" s="163">
        <v>10</v>
      </c>
      <c r="AB31" s="165">
        <v>9</v>
      </c>
      <c r="AC31" s="79">
        <v>9</v>
      </c>
      <c r="AD31" s="110">
        <v>19</v>
      </c>
      <c r="AE31" s="79">
        <v>8</v>
      </c>
      <c r="AF31" s="110">
        <v>5</v>
      </c>
      <c r="AG31" s="79">
        <v>30</v>
      </c>
      <c r="AH31" s="108">
        <f>SUM(AA31:AF31)+AG31</f>
        <v>90</v>
      </c>
      <c r="AI31" s="76"/>
      <c r="AJ31" s="75"/>
      <c r="AK31" s="76"/>
      <c r="AL31" s="112">
        <v>27</v>
      </c>
      <c r="AM31" s="110">
        <v>9</v>
      </c>
      <c r="AN31" s="79">
        <v>14</v>
      </c>
      <c r="AO31" s="110">
        <v>20</v>
      </c>
      <c r="AP31" s="79">
        <v>10</v>
      </c>
      <c r="AQ31" s="79">
        <v>0</v>
      </c>
      <c r="AR31" s="110">
        <v>14</v>
      </c>
      <c r="AS31" s="79">
        <v>10</v>
      </c>
      <c r="AT31" s="77">
        <v>3</v>
      </c>
      <c r="AU31" s="77">
        <f>SUM(AM31:AT31)</f>
        <v>80</v>
      </c>
      <c r="AV31" s="18"/>
      <c r="AW31" s="78">
        <v>27</v>
      </c>
      <c r="AX31" s="110">
        <f>AU31+0</f>
        <v>80</v>
      </c>
      <c r="AY31" s="75"/>
      <c r="AZ31" s="18"/>
      <c r="BA31" s="110">
        <f>AH31</f>
        <v>90</v>
      </c>
      <c r="BB31" s="75"/>
      <c r="BC31" s="18"/>
      <c r="BD31" s="110">
        <f>S31</f>
        <v>94</v>
      </c>
      <c r="BE31" s="75"/>
      <c r="BF31" s="18"/>
      <c r="BG31" s="76"/>
      <c r="BH31" s="75"/>
      <c r="BI31" s="18"/>
      <c r="BJ31" s="78">
        <v>27</v>
      </c>
      <c r="BK31" s="110">
        <f>AU31-1</f>
        <v>79</v>
      </c>
      <c r="BL31" s="75"/>
      <c r="BM31" s="18"/>
      <c r="BN31" s="110">
        <f>AH31-1</f>
        <v>89</v>
      </c>
      <c r="BO31" s="75"/>
      <c r="BP31" s="18"/>
      <c r="BQ31" s="110">
        <f>S31-1</f>
        <v>93</v>
      </c>
      <c r="BR31" s="75"/>
      <c r="BS31" s="18"/>
      <c r="BT31" s="76"/>
      <c r="BU31" s="75"/>
      <c r="BV31" s="18"/>
      <c r="BW31" s="78">
        <v>27</v>
      </c>
      <c r="BX31" s="110">
        <f>AU31+2</f>
        <v>82</v>
      </c>
      <c r="BY31" s="75"/>
      <c r="BZ31" s="18"/>
      <c r="CA31" s="110">
        <f>AH31+2</f>
        <v>92</v>
      </c>
      <c r="CB31" s="75"/>
      <c r="CC31" s="18"/>
      <c r="CD31" s="110">
        <f>S31+2</f>
        <v>96</v>
      </c>
      <c r="CE31" s="75"/>
      <c r="CF31" s="18"/>
      <c r="CG31" s="76"/>
      <c r="CH31" s="75"/>
      <c r="CI31" s="18"/>
      <c r="CJ31" s="78">
        <v>27</v>
      </c>
      <c r="CK31" s="110">
        <f>AU31+1</f>
        <v>81</v>
      </c>
      <c r="CL31" s="75"/>
      <c r="CM31" s="18"/>
      <c r="CN31" s="110">
        <f>AH31+1</f>
        <v>91</v>
      </c>
      <c r="CO31" s="75"/>
      <c r="CP31" s="18"/>
      <c r="CQ31" s="110">
        <f>S31+1</f>
        <v>95</v>
      </c>
      <c r="CR31" s="75"/>
      <c r="CS31" s="18"/>
      <c r="CT31" s="76"/>
      <c r="CU31" s="75"/>
      <c r="CV31" s="18"/>
      <c r="CW31" s="78">
        <v>27</v>
      </c>
      <c r="CX31" s="79">
        <f>(AX31+BA31+BD31+BG31)/4</f>
        <v>66</v>
      </c>
      <c r="CY31" s="79">
        <f>(BK31+BN31+BQ31+BT31)/4</f>
        <v>65.25</v>
      </c>
      <c r="CZ31" s="79">
        <f>(BX31+CA31+CD31+CG31)/4</f>
        <v>67.5</v>
      </c>
      <c r="DA31" s="79">
        <f>(CK31+CN31+CQ31+CT31)/4</f>
        <v>66.75</v>
      </c>
      <c r="DB31" s="18"/>
      <c r="DC31" s="80">
        <f>SUM(CX31:DA31)/4</f>
        <v>66.375</v>
      </c>
      <c r="DD31" s="18"/>
      <c r="DE31" s="79">
        <f>DC31*0.5</f>
        <v>33.1875</v>
      </c>
      <c r="DF31" s="75"/>
      <c r="DG31" s="79">
        <f>DF31*0.5</f>
        <v>0</v>
      </c>
      <c r="DH31" s="81">
        <f>DG31+DE31</f>
        <v>33.1875</v>
      </c>
      <c r="DI31" s="18"/>
      <c r="DJ31" s="79">
        <f>DC31*0.3</f>
        <v>19.9125</v>
      </c>
      <c r="DK31" s="75"/>
      <c r="DL31" s="79">
        <f>DK31*0.7</f>
        <v>0</v>
      </c>
      <c r="DM31" s="81">
        <f>DL31+DJ31</f>
        <v>19.9125</v>
      </c>
    </row>
    <row r="32" ht="13.5" customHeight="1">
      <c r="A32" s="105"/>
      <c r="B32" s="106">
        <v>28</v>
      </c>
      <c r="C32" t="s" s="70">
        <v>335</v>
      </c>
      <c r="D32" t="s" s="71">
        <v>336</v>
      </c>
      <c r="E32" t="s" s="172">
        <v>43</v>
      </c>
      <c r="F32" t="s" s="83">
        <v>161</v>
      </c>
      <c r="G32" s="75"/>
      <c r="H32" s="163">
        <v>10</v>
      </c>
      <c r="I32" s="166">
        <v>10</v>
      </c>
      <c r="J32" s="79">
        <v>10</v>
      </c>
      <c r="K32" s="79">
        <v>14</v>
      </c>
      <c r="L32" s="79">
        <v>0</v>
      </c>
      <c r="M32" s="79">
        <v>10</v>
      </c>
      <c r="N32" s="79">
        <v>10</v>
      </c>
      <c r="O32" s="79">
        <v>10</v>
      </c>
      <c r="P32" s="79">
        <v>10</v>
      </c>
      <c r="Q32" s="79">
        <v>5</v>
      </c>
      <c r="R32" s="79">
        <v>5</v>
      </c>
      <c r="S32" s="79">
        <f>R32+Q32+P32+O32+N32+M32+L32+K32+J32+I32+H32</f>
        <v>94</v>
      </c>
      <c r="T32" s="75"/>
      <c r="U32" s="75"/>
      <c r="V32" t="s" s="72">
        <v>43</v>
      </c>
      <c r="W32" s="82"/>
      <c r="X32" t="s" s="72">
        <v>161</v>
      </c>
      <c r="Y32" t="s" s="113">
        <v>43</v>
      </c>
      <c r="Z32" s="75"/>
      <c r="AA32" s="163">
        <v>8</v>
      </c>
      <c r="AB32" s="165">
        <v>9</v>
      </c>
      <c r="AC32" s="79">
        <v>9</v>
      </c>
      <c r="AD32" s="110">
        <v>0</v>
      </c>
      <c r="AE32" s="79">
        <v>0</v>
      </c>
      <c r="AF32" s="110">
        <v>5</v>
      </c>
      <c r="AG32" s="79">
        <v>30</v>
      </c>
      <c r="AH32" s="108">
        <f>SUM(AA32:AF32)+AG32</f>
        <v>61</v>
      </c>
      <c r="AI32" s="76"/>
      <c r="AJ32" s="75"/>
      <c r="AK32" s="76"/>
      <c r="AL32" s="112">
        <v>28</v>
      </c>
      <c r="AM32" s="110">
        <v>10</v>
      </c>
      <c r="AN32" s="79">
        <v>0</v>
      </c>
      <c r="AO32" s="110">
        <v>20</v>
      </c>
      <c r="AP32" s="79">
        <v>0</v>
      </c>
      <c r="AQ32" s="79">
        <v>14</v>
      </c>
      <c r="AR32" s="110">
        <v>14</v>
      </c>
      <c r="AS32" s="79">
        <v>10</v>
      </c>
      <c r="AT32" s="77">
        <v>3</v>
      </c>
      <c r="AU32" s="77">
        <f>SUM(AM32:AT32)</f>
        <v>71</v>
      </c>
      <c r="AV32" s="18"/>
      <c r="AW32" s="78">
        <v>28</v>
      </c>
      <c r="AX32" s="110">
        <f>AU32+0</f>
        <v>71</v>
      </c>
      <c r="AY32" s="75"/>
      <c r="AZ32" s="18"/>
      <c r="BA32" s="110">
        <f>AH32</f>
        <v>61</v>
      </c>
      <c r="BB32" s="79">
        <v>85</v>
      </c>
      <c r="BC32" s="18"/>
      <c r="BD32" s="110">
        <f>S32</f>
        <v>94</v>
      </c>
      <c r="BE32" s="75"/>
      <c r="BF32" s="18"/>
      <c r="BG32" s="76"/>
      <c r="BH32" s="75"/>
      <c r="BI32" s="18"/>
      <c r="BJ32" s="78">
        <v>28</v>
      </c>
      <c r="BK32" s="110">
        <f>AU32-1</f>
        <v>70</v>
      </c>
      <c r="BL32" s="75"/>
      <c r="BM32" s="18"/>
      <c r="BN32" s="110">
        <f>AH32-1</f>
        <v>60</v>
      </c>
      <c r="BO32" s="79">
        <v>85</v>
      </c>
      <c r="BP32" s="18"/>
      <c r="BQ32" s="110">
        <f>S32-1</f>
        <v>93</v>
      </c>
      <c r="BR32" s="75"/>
      <c r="BS32" s="18"/>
      <c r="BT32" s="76"/>
      <c r="BU32" s="75"/>
      <c r="BV32" s="18"/>
      <c r="BW32" s="78">
        <v>28</v>
      </c>
      <c r="BX32" s="110">
        <f>AU32+2</f>
        <v>73</v>
      </c>
      <c r="BY32" s="75"/>
      <c r="BZ32" s="18"/>
      <c r="CA32" s="110">
        <f>AH32+2</f>
        <v>63</v>
      </c>
      <c r="CB32" s="79">
        <v>85</v>
      </c>
      <c r="CC32" s="18"/>
      <c r="CD32" s="110">
        <f>S32+2</f>
        <v>96</v>
      </c>
      <c r="CE32" s="75"/>
      <c r="CF32" s="18"/>
      <c r="CG32" s="76"/>
      <c r="CH32" s="75"/>
      <c r="CI32" s="18"/>
      <c r="CJ32" s="78">
        <v>28</v>
      </c>
      <c r="CK32" s="110">
        <f>AU32+1</f>
        <v>72</v>
      </c>
      <c r="CL32" s="75"/>
      <c r="CM32" s="18"/>
      <c r="CN32" s="110">
        <f>AH32+1</f>
        <v>62</v>
      </c>
      <c r="CO32" s="79">
        <v>85</v>
      </c>
      <c r="CP32" s="18"/>
      <c r="CQ32" s="110">
        <f>S32+1</f>
        <v>95</v>
      </c>
      <c r="CR32" s="75"/>
      <c r="CS32" s="18"/>
      <c r="CT32" s="76"/>
      <c r="CU32" s="75"/>
      <c r="CV32" s="18"/>
      <c r="CW32" s="78">
        <v>28</v>
      </c>
      <c r="CX32" s="79">
        <f>(AX32+BA32+BD32+BG32)/4</f>
        <v>56.5</v>
      </c>
      <c r="CY32" s="79">
        <f>(BK32+BN32+BQ32+BT32)/4</f>
        <v>55.75</v>
      </c>
      <c r="CZ32" s="79">
        <f>(BX32+CA32+CD32+CG32)/4</f>
        <v>58</v>
      </c>
      <c r="DA32" s="79">
        <f>(CK32+CN32+CQ32+CT32)/4</f>
        <v>57.25</v>
      </c>
      <c r="DB32" s="18"/>
      <c r="DC32" s="80">
        <f>SUM(CX32:DA32)/4</f>
        <v>56.875</v>
      </c>
      <c r="DD32" s="18"/>
      <c r="DE32" s="79">
        <f>DC32*0.5</f>
        <v>28.4375</v>
      </c>
      <c r="DF32" s="75"/>
      <c r="DG32" s="79">
        <f>DF32*0.5</f>
        <v>0</v>
      </c>
      <c r="DH32" s="81">
        <f>DG32+DE32</f>
        <v>28.4375</v>
      </c>
      <c r="DI32" s="18"/>
      <c r="DJ32" s="79">
        <f>DC32*0.3</f>
        <v>17.0625</v>
      </c>
      <c r="DK32" s="75"/>
      <c r="DL32" s="79">
        <f>DK32*0.7</f>
        <v>0</v>
      </c>
      <c r="DM32" s="81">
        <f>DL32+DJ32</f>
        <v>17.0625</v>
      </c>
    </row>
    <row r="33" ht="13.5" customHeight="1">
      <c r="A33" s="105"/>
      <c r="B33" s="106">
        <v>29</v>
      </c>
      <c r="C33" t="s" s="70">
        <v>337</v>
      </c>
      <c r="D33" t="s" s="71">
        <v>338</v>
      </c>
      <c r="E33" t="s" s="172">
        <v>43</v>
      </c>
      <c r="F33" t="s" s="83">
        <v>161</v>
      </c>
      <c r="G33" s="75"/>
      <c r="H33" s="163">
        <v>10</v>
      </c>
      <c r="I33" s="166">
        <v>9</v>
      </c>
      <c r="J33" s="79">
        <v>10</v>
      </c>
      <c r="K33" s="79">
        <v>18</v>
      </c>
      <c r="L33" s="79">
        <v>8</v>
      </c>
      <c r="M33" s="79">
        <v>10</v>
      </c>
      <c r="N33" s="79">
        <v>10</v>
      </c>
      <c r="O33" s="79">
        <v>8</v>
      </c>
      <c r="P33" s="79">
        <v>8</v>
      </c>
      <c r="Q33" s="163">
        <v>5</v>
      </c>
      <c r="R33" s="166">
        <v>5</v>
      </c>
      <c r="S33" s="79">
        <f>R33+Q33+P33+O33+N33+M33+L33+K33+J33+I33+H33</f>
        <v>101</v>
      </c>
      <c r="T33" s="75"/>
      <c r="U33" s="75"/>
      <c r="V33" t="s" s="72">
        <v>43</v>
      </c>
      <c r="W33" s="82"/>
      <c r="X33" t="s" s="72">
        <v>43</v>
      </c>
      <c r="Y33" t="s" s="113">
        <v>43</v>
      </c>
      <c r="Z33" s="75"/>
      <c r="AA33" s="163">
        <v>10</v>
      </c>
      <c r="AB33" s="165">
        <v>10</v>
      </c>
      <c r="AC33" s="79">
        <v>10</v>
      </c>
      <c r="AD33" s="110">
        <v>20</v>
      </c>
      <c r="AE33" s="79">
        <v>8</v>
      </c>
      <c r="AF33" s="110">
        <v>5</v>
      </c>
      <c r="AG33" s="79">
        <v>30</v>
      </c>
      <c r="AH33" s="108">
        <f>SUM(AA33:AF33)+AG33</f>
        <v>93</v>
      </c>
      <c r="AI33" s="76"/>
      <c r="AJ33" s="75"/>
      <c r="AK33" s="76"/>
      <c r="AL33" s="112">
        <v>29</v>
      </c>
      <c r="AM33" s="110">
        <v>10</v>
      </c>
      <c r="AN33" s="79">
        <v>17</v>
      </c>
      <c r="AO33" s="110">
        <v>20</v>
      </c>
      <c r="AP33" s="79">
        <v>10</v>
      </c>
      <c r="AQ33" s="79">
        <v>12</v>
      </c>
      <c r="AR33" s="110">
        <v>15</v>
      </c>
      <c r="AS33" s="79">
        <v>10</v>
      </c>
      <c r="AT33" s="77">
        <v>3</v>
      </c>
      <c r="AU33" s="77">
        <f>SUM(AM33:AT33)</f>
        <v>97</v>
      </c>
      <c r="AV33" s="18"/>
      <c r="AW33" s="78">
        <v>29</v>
      </c>
      <c r="AX33" s="110">
        <f>AU33+0</f>
        <v>97</v>
      </c>
      <c r="AY33" s="75"/>
      <c r="AZ33" s="18"/>
      <c r="BA33" s="110">
        <f>AH33</f>
        <v>93</v>
      </c>
      <c r="BB33" s="75"/>
      <c r="BC33" s="18"/>
      <c r="BD33" s="110">
        <v>100</v>
      </c>
      <c r="BE33" s="75"/>
      <c r="BF33" s="18"/>
      <c r="BG33" s="76"/>
      <c r="BH33" s="75"/>
      <c r="BI33" s="18"/>
      <c r="BJ33" s="78">
        <v>29</v>
      </c>
      <c r="BK33" s="110">
        <f>AU33-1</f>
        <v>96</v>
      </c>
      <c r="BL33" s="75"/>
      <c r="BM33" s="18"/>
      <c r="BN33" s="110">
        <f>AH33-1</f>
        <v>92</v>
      </c>
      <c r="BO33" s="75"/>
      <c r="BP33" s="18"/>
      <c r="BQ33" s="110">
        <f>S33-1</f>
        <v>100</v>
      </c>
      <c r="BR33" s="75"/>
      <c r="BS33" s="18"/>
      <c r="BT33" s="76"/>
      <c r="BU33" s="75"/>
      <c r="BV33" s="18"/>
      <c r="BW33" s="78">
        <v>29</v>
      </c>
      <c r="BX33" s="110">
        <f>AU33+2</f>
        <v>99</v>
      </c>
      <c r="BY33" s="75"/>
      <c r="BZ33" s="18"/>
      <c r="CA33" s="110">
        <f>AH33+2</f>
        <v>95</v>
      </c>
      <c r="CB33" s="75"/>
      <c r="CC33" s="18"/>
      <c r="CD33" s="110">
        <v>100</v>
      </c>
      <c r="CE33" s="75"/>
      <c r="CF33" s="18"/>
      <c r="CG33" s="76"/>
      <c r="CH33" s="75"/>
      <c r="CI33" s="18"/>
      <c r="CJ33" s="78">
        <v>29</v>
      </c>
      <c r="CK33" s="110">
        <f>AU33+1</f>
        <v>98</v>
      </c>
      <c r="CL33" s="75"/>
      <c r="CM33" s="18"/>
      <c r="CN33" s="110">
        <f>AH33+1</f>
        <v>94</v>
      </c>
      <c r="CO33" s="75"/>
      <c r="CP33" s="18"/>
      <c r="CQ33" s="110">
        <v>100</v>
      </c>
      <c r="CR33" s="75"/>
      <c r="CS33" s="18"/>
      <c r="CT33" s="76"/>
      <c r="CU33" s="75"/>
      <c r="CV33" s="18"/>
      <c r="CW33" s="78">
        <v>29</v>
      </c>
      <c r="CX33" s="79">
        <f>(AX33+BA33+BD33+BG33)/4</f>
        <v>72.5</v>
      </c>
      <c r="CY33" s="79">
        <f>(BK33+BN33+BQ33+BT33)/4</f>
        <v>72</v>
      </c>
      <c r="CZ33" s="79">
        <f>(BX33+CA33+CD33+CG33)/4</f>
        <v>73.5</v>
      </c>
      <c r="DA33" s="79">
        <f>(CK33+CN33+CQ33+CT33)/4</f>
        <v>73</v>
      </c>
      <c r="DB33" s="18"/>
      <c r="DC33" s="80">
        <f>SUM(CX33:DA33)/4</f>
        <v>72.75</v>
      </c>
      <c r="DD33" s="18"/>
      <c r="DE33" s="79">
        <f>DC33*0.5</f>
        <v>36.375</v>
      </c>
      <c r="DF33" s="75"/>
      <c r="DG33" s="79">
        <f>DF33*0.5</f>
        <v>0</v>
      </c>
      <c r="DH33" s="81">
        <f>DG33+DE33</f>
        <v>36.375</v>
      </c>
      <c r="DI33" s="18"/>
      <c r="DJ33" s="79">
        <f>DC33*0.3</f>
        <v>21.825</v>
      </c>
      <c r="DK33" s="75"/>
      <c r="DL33" s="79">
        <f>DK33*0.7</f>
        <v>0</v>
      </c>
      <c r="DM33" s="81">
        <f>DL33+DJ33</f>
        <v>21.825</v>
      </c>
    </row>
    <row r="34" ht="15" customHeight="1">
      <c r="A34" s="105"/>
      <c r="B34" s="106">
        <v>30</v>
      </c>
      <c r="C34" t="s" s="70">
        <v>247</v>
      </c>
      <c r="D34" t="s" s="71">
        <v>339</v>
      </c>
      <c r="E34" t="s" s="172">
        <v>43</v>
      </c>
      <c r="F34" t="s" s="83">
        <v>163</v>
      </c>
      <c r="G34" s="75"/>
      <c r="H34" s="163">
        <v>10</v>
      </c>
      <c r="I34" s="166">
        <v>8</v>
      </c>
      <c r="J34" s="79">
        <v>10</v>
      </c>
      <c r="K34" s="79">
        <v>20</v>
      </c>
      <c r="L34" s="79">
        <v>10</v>
      </c>
      <c r="M34" s="79">
        <v>0</v>
      </c>
      <c r="N34" s="79">
        <v>0</v>
      </c>
      <c r="O34" s="79">
        <v>0</v>
      </c>
      <c r="P34" s="79">
        <v>0</v>
      </c>
      <c r="Q34" s="79">
        <v>0</v>
      </c>
      <c r="R34" s="79">
        <v>5</v>
      </c>
      <c r="S34" s="79">
        <f>R34+Q34+P34+O34+N34+M34+L34+K34+J34+I34+H34</f>
        <v>63</v>
      </c>
      <c r="T34" s="75"/>
      <c r="U34" s="75"/>
      <c r="V34" t="s" s="72">
        <v>43</v>
      </c>
      <c r="W34" s="82"/>
      <c r="X34" t="s" s="72">
        <v>43</v>
      </c>
      <c r="Y34" t="s" s="113">
        <v>43</v>
      </c>
      <c r="Z34" s="75"/>
      <c r="AA34" s="163">
        <v>10</v>
      </c>
      <c r="AB34" s="165">
        <v>10</v>
      </c>
      <c r="AC34" s="79">
        <v>10</v>
      </c>
      <c r="AD34" s="110">
        <v>19</v>
      </c>
      <c r="AE34" s="79">
        <v>10</v>
      </c>
      <c r="AF34" s="110">
        <v>10</v>
      </c>
      <c r="AG34" s="79">
        <v>30</v>
      </c>
      <c r="AH34" s="108">
        <f>SUM(AA34:AF34)+AG34</f>
        <v>99</v>
      </c>
      <c r="AI34" s="76"/>
      <c r="AJ34" s="75"/>
      <c r="AK34" s="76"/>
      <c r="AL34" s="112">
        <v>30</v>
      </c>
      <c r="AM34" s="110">
        <v>10</v>
      </c>
      <c r="AN34" s="79">
        <v>20</v>
      </c>
      <c r="AO34" s="110">
        <v>20</v>
      </c>
      <c r="AP34" s="79">
        <v>10</v>
      </c>
      <c r="AQ34" s="79">
        <v>5</v>
      </c>
      <c r="AR34" s="110">
        <v>15</v>
      </c>
      <c r="AS34" s="79">
        <v>10</v>
      </c>
      <c r="AT34" s="77">
        <v>3</v>
      </c>
      <c r="AU34" s="77">
        <f>SUM(AM34:AT34)</f>
        <v>93</v>
      </c>
      <c r="AV34" s="18"/>
      <c r="AW34" s="78">
        <v>30</v>
      </c>
      <c r="AX34" s="110">
        <f>AU34+0</f>
        <v>93</v>
      </c>
      <c r="AY34" s="75"/>
      <c r="AZ34" s="18"/>
      <c r="BA34" s="110">
        <f>AH34</f>
        <v>99</v>
      </c>
      <c r="BB34" s="75"/>
      <c r="BC34" s="18"/>
      <c r="BD34" s="110">
        <f>S34</f>
        <v>63</v>
      </c>
      <c r="BE34" s="75"/>
      <c r="BF34" s="18"/>
      <c r="BG34" s="76"/>
      <c r="BH34" s="75"/>
      <c r="BI34" s="18"/>
      <c r="BJ34" s="78">
        <v>30</v>
      </c>
      <c r="BK34" s="110">
        <f>AU34-1</f>
        <v>92</v>
      </c>
      <c r="BL34" s="75"/>
      <c r="BM34" s="18"/>
      <c r="BN34" s="110">
        <f>AH34-1</f>
        <v>98</v>
      </c>
      <c r="BO34" s="75"/>
      <c r="BP34" s="18"/>
      <c r="BQ34" s="110">
        <f>S34-1</f>
        <v>62</v>
      </c>
      <c r="BR34" s="75"/>
      <c r="BS34" s="18"/>
      <c r="BT34" s="76"/>
      <c r="BU34" s="75"/>
      <c r="BV34" s="18"/>
      <c r="BW34" s="78">
        <v>30</v>
      </c>
      <c r="BX34" s="110">
        <f>AU34+2</f>
        <v>95</v>
      </c>
      <c r="BY34" s="75"/>
      <c r="BZ34" s="18"/>
      <c r="CA34" s="110">
        <v>100</v>
      </c>
      <c r="CB34" s="75"/>
      <c r="CC34" s="18"/>
      <c r="CD34" s="110">
        <f>S34+2</f>
        <v>65</v>
      </c>
      <c r="CE34" s="75"/>
      <c r="CF34" s="18"/>
      <c r="CG34" s="76"/>
      <c r="CH34" s="75"/>
      <c r="CI34" s="18"/>
      <c r="CJ34" s="78">
        <v>30</v>
      </c>
      <c r="CK34" s="110">
        <f>AU34+1</f>
        <v>94</v>
      </c>
      <c r="CL34" s="75"/>
      <c r="CM34" s="18"/>
      <c r="CN34" s="110">
        <f>AH34+1</f>
        <v>100</v>
      </c>
      <c r="CO34" s="75"/>
      <c r="CP34" s="18"/>
      <c r="CQ34" s="110">
        <f>S34+1</f>
        <v>64</v>
      </c>
      <c r="CR34" s="75"/>
      <c r="CS34" s="18"/>
      <c r="CT34" s="76"/>
      <c r="CU34" s="75"/>
      <c r="CV34" s="18"/>
      <c r="CW34" s="78">
        <v>30</v>
      </c>
      <c r="CX34" s="79">
        <f>(AX34+BA34+BD34+BG34)/4</f>
        <v>63.75</v>
      </c>
      <c r="CY34" s="79">
        <f>(BK34+BN34+BQ34+BT34)/4</f>
        <v>63</v>
      </c>
      <c r="CZ34" s="79">
        <f>(BX34+CA34+CD34+CG34)/4</f>
        <v>65</v>
      </c>
      <c r="DA34" s="79">
        <f>(CK34+CN34+CQ34+CT34)/4</f>
        <v>64.5</v>
      </c>
      <c r="DB34" s="18"/>
      <c r="DC34" s="80">
        <f>SUM(CX34:DA34)/4</f>
        <v>64.0625</v>
      </c>
      <c r="DD34" s="18"/>
      <c r="DE34" s="79">
        <f>DC34*0.5</f>
        <v>32.03125</v>
      </c>
      <c r="DF34" s="75"/>
      <c r="DG34" s="79">
        <f>DF34*0.5</f>
        <v>0</v>
      </c>
      <c r="DH34" s="81">
        <f>DG34+DE34</f>
        <v>32.03125</v>
      </c>
      <c r="DI34" s="18"/>
      <c r="DJ34" s="79">
        <f>DC34*0.3</f>
        <v>19.21875</v>
      </c>
      <c r="DK34" s="75"/>
      <c r="DL34" s="79">
        <f>DK34*0.7</f>
        <v>0</v>
      </c>
      <c r="DM34" s="81">
        <f>DL34+DJ34</f>
        <v>19.21875</v>
      </c>
    </row>
    <row r="35" ht="15" customHeight="1">
      <c r="A35" s="7"/>
      <c r="B35" s="173">
        <v>31</v>
      </c>
      <c r="C35" t="s" s="70">
        <v>340</v>
      </c>
      <c r="D35" t="s" s="71">
        <v>341</v>
      </c>
      <c r="E35" t="s" s="172">
        <v>43</v>
      </c>
      <c r="F35" t="s" s="83">
        <v>43</v>
      </c>
      <c r="G35" s="75"/>
      <c r="H35" s="163">
        <v>10</v>
      </c>
      <c r="I35" s="166">
        <v>9</v>
      </c>
      <c r="J35" s="79">
        <v>8</v>
      </c>
      <c r="K35" s="79">
        <v>20</v>
      </c>
      <c r="L35" s="79">
        <v>9</v>
      </c>
      <c r="M35" s="79">
        <v>5</v>
      </c>
      <c r="N35" s="79">
        <v>8</v>
      </c>
      <c r="O35" s="79">
        <v>7</v>
      </c>
      <c r="P35" s="79">
        <v>5</v>
      </c>
      <c r="Q35" s="163">
        <v>3</v>
      </c>
      <c r="R35" s="166">
        <v>5</v>
      </c>
      <c r="S35" s="79">
        <f>R35+Q35+P35+O35+N35+M35+L35+K35+J35+I35+H35</f>
        <v>89</v>
      </c>
      <c r="T35" s="75"/>
      <c r="U35" s="75"/>
      <c r="V35" t="s" s="72">
        <v>43</v>
      </c>
      <c r="W35" s="82"/>
      <c r="X35" t="s" s="72">
        <v>43</v>
      </c>
      <c r="Y35" t="s" s="113">
        <v>43</v>
      </c>
      <c r="Z35" s="75"/>
      <c r="AA35" s="163">
        <v>10</v>
      </c>
      <c r="AB35" s="165">
        <v>10</v>
      </c>
      <c r="AC35" s="79">
        <v>10</v>
      </c>
      <c r="AD35" s="110">
        <v>19</v>
      </c>
      <c r="AE35" s="79">
        <v>9</v>
      </c>
      <c r="AF35" s="110">
        <v>5</v>
      </c>
      <c r="AG35" s="79">
        <v>30</v>
      </c>
      <c r="AH35" s="108">
        <f>SUM(AA35:AF35)+AG35</f>
        <v>93</v>
      </c>
      <c r="AI35" s="76"/>
      <c r="AJ35" s="75"/>
      <c r="AK35" s="76"/>
      <c r="AL35" s="112">
        <v>31</v>
      </c>
      <c r="AM35" s="110">
        <v>10</v>
      </c>
      <c r="AN35" s="79">
        <v>20</v>
      </c>
      <c r="AO35" s="110">
        <v>20</v>
      </c>
      <c r="AP35" s="79">
        <v>10</v>
      </c>
      <c r="AQ35" s="79">
        <v>10</v>
      </c>
      <c r="AR35" s="110">
        <v>14</v>
      </c>
      <c r="AS35" s="79">
        <v>10</v>
      </c>
      <c r="AT35" s="77">
        <v>3</v>
      </c>
      <c r="AU35" s="77">
        <f>SUM(AM35:AT35)</f>
        <v>97</v>
      </c>
      <c r="AV35" s="18"/>
      <c r="AW35" s="78">
        <v>31</v>
      </c>
      <c r="AX35" s="110">
        <f>AU35+0</f>
        <v>97</v>
      </c>
      <c r="AY35" s="75"/>
      <c r="AZ35" s="18"/>
      <c r="BA35" s="110">
        <f>AH35</f>
        <v>93</v>
      </c>
      <c r="BB35" s="75"/>
      <c r="BC35" s="18"/>
      <c r="BD35" s="110">
        <f>S35</f>
        <v>89</v>
      </c>
      <c r="BE35" s="75"/>
      <c r="BF35" s="18"/>
      <c r="BG35" s="76"/>
      <c r="BH35" s="75"/>
      <c r="BI35" s="18"/>
      <c r="BJ35" s="78">
        <v>31</v>
      </c>
      <c r="BK35" s="110">
        <f>AU35-1</f>
        <v>96</v>
      </c>
      <c r="BL35" s="75"/>
      <c r="BM35" s="18"/>
      <c r="BN35" s="110">
        <f>AH35-1</f>
        <v>92</v>
      </c>
      <c r="BO35" s="75"/>
      <c r="BP35" s="18"/>
      <c r="BQ35" s="110">
        <f>S35-1</f>
        <v>88</v>
      </c>
      <c r="BR35" s="75"/>
      <c r="BS35" s="18"/>
      <c r="BT35" s="76"/>
      <c r="BU35" s="75"/>
      <c r="BV35" s="18"/>
      <c r="BW35" s="78">
        <v>31</v>
      </c>
      <c r="BX35" s="110">
        <f>AU35+2</f>
        <v>99</v>
      </c>
      <c r="BY35" s="75"/>
      <c r="BZ35" s="18"/>
      <c r="CA35" s="110">
        <f>AH35+2</f>
        <v>95</v>
      </c>
      <c r="CB35" s="75"/>
      <c r="CC35" s="18"/>
      <c r="CD35" s="110">
        <f>S35+2</f>
        <v>91</v>
      </c>
      <c r="CE35" s="75"/>
      <c r="CF35" s="18"/>
      <c r="CG35" s="76"/>
      <c r="CH35" s="75"/>
      <c r="CI35" s="18"/>
      <c r="CJ35" s="78">
        <v>31</v>
      </c>
      <c r="CK35" s="110">
        <f>AU35+1</f>
        <v>98</v>
      </c>
      <c r="CL35" s="75"/>
      <c r="CM35" s="18"/>
      <c r="CN35" s="110">
        <f>AH35+1</f>
        <v>94</v>
      </c>
      <c r="CO35" s="75"/>
      <c r="CP35" s="18"/>
      <c r="CQ35" s="110">
        <f>S35+1</f>
        <v>90</v>
      </c>
      <c r="CR35" s="75"/>
      <c r="CS35" s="18"/>
      <c r="CT35" s="76"/>
      <c r="CU35" s="75"/>
      <c r="CV35" s="18"/>
      <c r="CW35" s="78">
        <v>31</v>
      </c>
      <c r="CX35" s="79">
        <f>(AX35+BA35+BD35+BG35)/4</f>
        <v>69.75</v>
      </c>
      <c r="CY35" s="79">
        <f>(BK35+BN35+BQ35+BT35)/4</f>
        <v>69</v>
      </c>
      <c r="CZ35" s="79">
        <f>(BX35+CA35+CD35+CG35)/4</f>
        <v>71.25</v>
      </c>
      <c r="DA35" s="79">
        <f>(CK35+CN35+CQ35+CT35)/4</f>
        <v>70.5</v>
      </c>
      <c r="DB35" s="18"/>
      <c r="DC35" s="80">
        <f>SUM(CX35:DA35)/4</f>
        <v>70.125</v>
      </c>
      <c r="DD35" s="18"/>
      <c r="DE35" s="79">
        <f>DC35*0.5</f>
        <v>35.0625</v>
      </c>
      <c r="DF35" s="75"/>
      <c r="DG35" s="79">
        <f>DF35*0.5</f>
        <v>0</v>
      </c>
      <c r="DH35" s="81">
        <f>DG35+DE35</f>
        <v>35.0625</v>
      </c>
      <c r="DI35" s="18"/>
      <c r="DJ35" s="79">
        <f>DC35*0.3</f>
        <v>21.0375</v>
      </c>
      <c r="DK35" s="75"/>
      <c r="DL35" s="79">
        <f>DK35*0.7</f>
        <v>0</v>
      </c>
      <c r="DM35" s="81">
        <f>DL35+DJ35</f>
        <v>21.0375</v>
      </c>
    </row>
    <row r="36" ht="15" customHeight="1">
      <c r="A36" s="8">
        <v>1</v>
      </c>
      <c r="B36" s="174">
        <v>32</v>
      </c>
      <c r="C36" t="s" s="70">
        <v>249</v>
      </c>
      <c r="D36" t="s" s="71">
        <v>342</v>
      </c>
      <c r="E36" t="s" s="172">
        <v>43</v>
      </c>
      <c r="F36" t="s" s="83">
        <v>43</v>
      </c>
      <c r="G36" s="75"/>
      <c r="H36" s="163">
        <v>10</v>
      </c>
      <c r="I36" s="166">
        <v>10</v>
      </c>
      <c r="J36" s="79">
        <v>10</v>
      </c>
      <c r="K36" s="79">
        <v>16</v>
      </c>
      <c r="L36" s="79">
        <v>7</v>
      </c>
      <c r="M36" s="79">
        <v>10</v>
      </c>
      <c r="N36" s="79">
        <v>10</v>
      </c>
      <c r="O36" s="79">
        <v>10</v>
      </c>
      <c r="P36" s="79">
        <v>10</v>
      </c>
      <c r="Q36" s="163">
        <v>5</v>
      </c>
      <c r="R36" s="166">
        <v>5</v>
      </c>
      <c r="S36" s="79">
        <f>R36+Q36+P36+O36+N36+M36+L36+K36+J36+I36+H36</f>
        <v>103</v>
      </c>
      <c r="T36" s="75"/>
      <c r="U36" s="75"/>
      <c r="V36" t="s" s="72">
        <v>43</v>
      </c>
      <c r="W36" s="82"/>
      <c r="X36" t="s" s="72">
        <v>43</v>
      </c>
      <c r="Y36" t="s" s="113">
        <v>43</v>
      </c>
      <c r="Z36" s="75"/>
      <c r="AA36" s="163">
        <v>10</v>
      </c>
      <c r="AB36" s="165">
        <v>9</v>
      </c>
      <c r="AC36" s="79">
        <v>10</v>
      </c>
      <c r="AD36" s="110">
        <v>19</v>
      </c>
      <c r="AE36" s="79">
        <v>9</v>
      </c>
      <c r="AF36" s="110">
        <v>5</v>
      </c>
      <c r="AG36" s="79">
        <v>30</v>
      </c>
      <c r="AH36" s="108">
        <f>SUM(AA36:AF36)+AG36</f>
        <v>92</v>
      </c>
      <c r="AI36" s="76"/>
      <c r="AJ36" s="75"/>
      <c r="AK36" s="76"/>
      <c r="AL36" s="112">
        <v>32</v>
      </c>
      <c r="AM36" s="110">
        <v>10</v>
      </c>
      <c r="AN36" s="79">
        <v>15</v>
      </c>
      <c r="AO36" s="110">
        <v>20</v>
      </c>
      <c r="AP36" s="79">
        <v>10</v>
      </c>
      <c r="AQ36" s="79">
        <v>0</v>
      </c>
      <c r="AR36" s="110">
        <v>15</v>
      </c>
      <c r="AS36" s="79">
        <v>10</v>
      </c>
      <c r="AT36" s="77">
        <v>3</v>
      </c>
      <c r="AU36" s="77">
        <f>SUM(AM36:AT36)</f>
        <v>83</v>
      </c>
      <c r="AV36" s="18"/>
      <c r="AW36" s="78">
        <v>32</v>
      </c>
      <c r="AX36" s="110">
        <f>AU36+0</f>
        <v>83</v>
      </c>
      <c r="AY36" s="75"/>
      <c r="AZ36" s="18"/>
      <c r="BA36" s="110">
        <f>AH36</f>
        <v>92</v>
      </c>
      <c r="BB36" s="75"/>
      <c r="BC36" s="18"/>
      <c r="BD36" s="110">
        <v>100</v>
      </c>
      <c r="BE36" s="75"/>
      <c r="BF36" s="18"/>
      <c r="BG36" s="76"/>
      <c r="BH36" s="75"/>
      <c r="BI36" s="18"/>
      <c r="BJ36" s="78">
        <v>32</v>
      </c>
      <c r="BK36" s="110">
        <f>AU36-1</f>
        <v>82</v>
      </c>
      <c r="BL36" s="75"/>
      <c r="BM36" s="18"/>
      <c r="BN36" s="110">
        <f>AH36-1</f>
        <v>91</v>
      </c>
      <c r="BO36" s="75"/>
      <c r="BP36" s="18"/>
      <c r="BQ36" s="110">
        <v>100</v>
      </c>
      <c r="BR36" s="75"/>
      <c r="BS36" s="18"/>
      <c r="BT36" s="76"/>
      <c r="BU36" s="75"/>
      <c r="BV36" s="18"/>
      <c r="BW36" s="78">
        <v>32</v>
      </c>
      <c r="BX36" s="110">
        <f>AU36+2</f>
        <v>85</v>
      </c>
      <c r="BY36" s="75"/>
      <c r="BZ36" s="18"/>
      <c r="CA36" s="110">
        <f>AH36+2</f>
        <v>94</v>
      </c>
      <c r="CB36" s="75"/>
      <c r="CC36" s="18"/>
      <c r="CD36" s="110">
        <v>100</v>
      </c>
      <c r="CE36" s="75"/>
      <c r="CF36" s="18"/>
      <c r="CG36" s="76"/>
      <c r="CH36" s="75"/>
      <c r="CI36" s="18"/>
      <c r="CJ36" s="78">
        <v>32</v>
      </c>
      <c r="CK36" s="110">
        <f>AU36+1</f>
        <v>84</v>
      </c>
      <c r="CL36" s="75"/>
      <c r="CM36" s="18"/>
      <c r="CN36" s="110">
        <f>AH36+1</f>
        <v>93</v>
      </c>
      <c r="CO36" s="75"/>
      <c r="CP36" s="18"/>
      <c r="CQ36" s="110">
        <v>100</v>
      </c>
      <c r="CR36" s="75"/>
      <c r="CS36" s="18"/>
      <c r="CT36" s="76"/>
      <c r="CU36" s="75"/>
      <c r="CV36" s="18"/>
      <c r="CW36" s="78">
        <v>32</v>
      </c>
      <c r="CX36" s="79">
        <f>(AX36+BA36+BD36+BG36)/4</f>
        <v>68.75</v>
      </c>
      <c r="CY36" s="79">
        <f>(BK36+BN36+BQ36+BT36)/4</f>
        <v>68.25</v>
      </c>
      <c r="CZ36" s="79">
        <f>(BX36+CA36+CD36+CG36)/4</f>
        <v>69.75</v>
      </c>
      <c r="DA36" s="79">
        <f>(CK36+CN36+CQ36+CT36)/4</f>
        <v>69.25</v>
      </c>
      <c r="DB36" s="18"/>
      <c r="DC36" s="80">
        <f>SUM(CX36:DA36)/4</f>
        <v>69</v>
      </c>
      <c r="DD36" s="18"/>
      <c r="DE36" s="79">
        <f>DC36*0.5</f>
        <v>34.5</v>
      </c>
      <c r="DF36" s="75"/>
      <c r="DG36" s="79">
        <f>DF36*0.5</f>
        <v>0</v>
      </c>
      <c r="DH36" s="81">
        <f>DG36+DE36</f>
        <v>34.5</v>
      </c>
      <c r="DI36" s="18"/>
      <c r="DJ36" s="79">
        <f>DC36*0.3</f>
        <v>20.7</v>
      </c>
      <c r="DK36" s="75"/>
      <c r="DL36" s="79">
        <f>DK36*0.7</f>
        <v>0</v>
      </c>
      <c r="DM36" s="81">
        <f>DL36+DJ36</f>
        <v>20.7</v>
      </c>
    </row>
    <row r="37" ht="15" customHeight="1">
      <c r="A37" s="7"/>
      <c r="B37" s="174">
        <v>33</v>
      </c>
      <c r="C37" t="s" s="70">
        <v>343</v>
      </c>
      <c r="D37" t="s" s="71">
        <v>344</v>
      </c>
      <c r="E37" t="s" s="172">
        <v>43</v>
      </c>
      <c r="F37" t="s" s="83">
        <v>43</v>
      </c>
      <c r="G37" s="75"/>
      <c r="H37" s="163">
        <v>10</v>
      </c>
      <c r="I37" s="166">
        <v>7</v>
      </c>
      <c r="J37" s="79">
        <v>7</v>
      </c>
      <c r="K37" s="79">
        <v>10</v>
      </c>
      <c r="L37" s="79">
        <v>5</v>
      </c>
      <c r="M37" s="79">
        <v>5</v>
      </c>
      <c r="N37" s="79">
        <v>8</v>
      </c>
      <c r="O37" s="79">
        <v>7</v>
      </c>
      <c r="P37" s="79">
        <v>5</v>
      </c>
      <c r="Q37" s="163">
        <v>4</v>
      </c>
      <c r="R37" s="166">
        <v>5</v>
      </c>
      <c r="S37" s="79">
        <f>R37+Q37+P37+O37+N37+M37+L37+K37+J37+I37+H37</f>
        <v>73</v>
      </c>
      <c r="T37" t="s" s="83">
        <v>345</v>
      </c>
      <c r="U37" s="75"/>
      <c r="V37" t="s" s="72">
        <v>43</v>
      </c>
      <c r="W37" s="82"/>
      <c r="X37" t="s" s="72">
        <v>161</v>
      </c>
      <c r="Y37" t="s" s="113">
        <v>43</v>
      </c>
      <c r="Z37" s="75"/>
      <c r="AA37" s="163">
        <v>8</v>
      </c>
      <c r="AB37" s="165">
        <v>10</v>
      </c>
      <c r="AC37" s="79">
        <v>10</v>
      </c>
      <c r="AD37" s="110">
        <v>0</v>
      </c>
      <c r="AE37" s="79">
        <v>10</v>
      </c>
      <c r="AF37" s="110">
        <v>5</v>
      </c>
      <c r="AG37" s="79">
        <v>30</v>
      </c>
      <c r="AH37" s="108">
        <f>SUM(AA37:AF37)+AG37</f>
        <v>73</v>
      </c>
      <c r="AI37" s="110">
        <v>73</v>
      </c>
      <c r="AJ37" s="75"/>
      <c r="AK37" s="76"/>
      <c r="AL37" s="112">
        <v>33</v>
      </c>
      <c r="AM37" s="110">
        <v>10</v>
      </c>
      <c r="AN37" s="79">
        <v>0</v>
      </c>
      <c r="AO37" s="110">
        <v>20</v>
      </c>
      <c r="AP37" s="79">
        <v>0</v>
      </c>
      <c r="AQ37" s="75"/>
      <c r="AR37" s="110">
        <v>14</v>
      </c>
      <c r="AS37" s="79">
        <v>10</v>
      </c>
      <c r="AT37" s="77">
        <v>3</v>
      </c>
      <c r="AU37" s="77">
        <f>SUM(AM37:AT37)</f>
        <v>57</v>
      </c>
      <c r="AV37" s="18"/>
      <c r="AW37" s="78">
        <v>33</v>
      </c>
      <c r="AX37" s="110">
        <f>AU37+0</f>
        <v>57</v>
      </c>
      <c r="AY37" s="79">
        <v>60</v>
      </c>
      <c r="AZ37" s="18"/>
      <c r="BA37" s="110">
        <f>AH37</f>
        <v>73</v>
      </c>
      <c r="BB37" s="79">
        <v>73</v>
      </c>
      <c r="BC37" s="18"/>
      <c r="BD37" s="110">
        <f>S37</f>
        <v>73</v>
      </c>
      <c r="BE37" s="75"/>
      <c r="BF37" s="18"/>
      <c r="BG37" s="76"/>
      <c r="BH37" s="75"/>
      <c r="BI37" s="18"/>
      <c r="BJ37" s="78">
        <v>33</v>
      </c>
      <c r="BK37" s="110">
        <f>AU37-1</f>
        <v>56</v>
      </c>
      <c r="BL37" s="79">
        <v>60</v>
      </c>
      <c r="BM37" s="18"/>
      <c r="BN37" s="110">
        <f>AH37-1</f>
        <v>72</v>
      </c>
      <c r="BO37" s="79">
        <v>72</v>
      </c>
      <c r="BP37" s="18"/>
      <c r="BQ37" s="110">
        <f>S37-1</f>
        <v>72</v>
      </c>
      <c r="BR37" s="75"/>
      <c r="BS37" s="18"/>
      <c r="BT37" s="76"/>
      <c r="BU37" s="75"/>
      <c r="BV37" s="18"/>
      <c r="BW37" s="78">
        <v>33</v>
      </c>
      <c r="BX37" s="110">
        <f>AU37+2</f>
        <v>59</v>
      </c>
      <c r="BY37" s="79">
        <v>60</v>
      </c>
      <c r="BZ37" s="18"/>
      <c r="CA37" s="110">
        <f>AH37+2</f>
        <v>75</v>
      </c>
      <c r="CB37" s="79">
        <v>73</v>
      </c>
      <c r="CC37" s="18"/>
      <c r="CD37" s="110">
        <f>S37+2</f>
        <v>75</v>
      </c>
      <c r="CE37" s="75"/>
      <c r="CF37" s="18"/>
      <c r="CG37" s="76"/>
      <c r="CH37" s="75"/>
      <c r="CI37" s="18"/>
      <c r="CJ37" s="78">
        <v>33</v>
      </c>
      <c r="CK37" s="110">
        <f>AU37+1</f>
        <v>58</v>
      </c>
      <c r="CL37" s="79">
        <v>60</v>
      </c>
      <c r="CM37" s="18"/>
      <c r="CN37" s="110">
        <f>AH37+1</f>
        <v>74</v>
      </c>
      <c r="CO37" s="79">
        <v>74</v>
      </c>
      <c r="CP37" s="18"/>
      <c r="CQ37" s="110">
        <f>S37+1</f>
        <v>74</v>
      </c>
      <c r="CR37" s="75"/>
      <c r="CS37" s="18"/>
      <c r="CT37" s="76"/>
      <c r="CU37" s="75"/>
      <c r="CV37" s="18"/>
      <c r="CW37" s="78">
        <v>33</v>
      </c>
      <c r="CX37" s="79">
        <f>(AX37+BA37+BD37+BG37)/4</f>
        <v>50.75</v>
      </c>
      <c r="CY37" s="79">
        <f>(BK37+BN37+BQ37+BT37)/4</f>
        <v>50</v>
      </c>
      <c r="CZ37" s="79">
        <f>(BX37+CA37+CD37+CG37)/4</f>
        <v>52.25</v>
      </c>
      <c r="DA37" s="79">
        <f>(CK37+CN37+CQ37+CT37)/4</f>
        <v>51.5</v>
      </c>
      <c r="DB37" s="18"/>
      <c r="DC37" s="80">
        <f>SUM(CX37:DA37)/4</f>
        <v>51.125</v>
      </c>
      <c r="DD37" s="18"/>
      <c r="DE37" s="79">
        <f>DC37*0.5</f>
        <v>25.5625</v>
      </c>
      <c r="DF37" s="75"/>
      <c r="DG37" s="79">
        <f>DF37*0.5</f>
        <v>0</v>
      </c>
      <c r="DH37" s="81">
        <f>DG37+DE37</f>
        <v>25.5625</v>
      </c>
      <c r="DI37" s="18"/>
      <c r="DJ37" s="79">
        <f>DC37*0.3</f>
        <v>15.3375</v>
      </c>
      <c r="DK37" s="75"/>
      <c r="DL37" s="79">
        <f>DK37*0.7</f>
        <v>0</v>
      </c>
      <c r="DM37" s="81">
        <f>DL37+DJ37</f>
        <v>15.3375</v>
      </c>
    </row>
    <row r="38" ht="15" customHeight="1">
      <c r="A38" s="7"/>
      <c r="B38" s="174">
        <v>34</v>
      </c>
      <c r="C38" t="s" s="70">
        <v>346</v>
      </c>
      <c r="D38" t="s" s="71">
        <v>347</v>
      </c>
      <c r="E38" t="s" s="172">
        <v>43</v>
      </c>
      <c r="F38" t="s" s="83">
        <v>43</v>
      </c>
      <c r="G38" s="75"/>
      <c r="H38" s="163">
        <v>10</v>
      </c>
      <c r="I38" s="166">
        <v>10</v>
      </c>
      <c r="J38" s="79">
        <v>10</v>
      </c>
      <c r="K38" s="79">
        <v>17</v>
      </c>
      <c r="L38" s="79">
        <v>0</v>
      </c>
      <c r="M38" s="79">
        <v>10</v>
      </c>
      <c r="N38" s="79">
        <v>10</v>
      </c>
      <c r="O38" s="79">
        <v>10</v>
      </c>
      <c r="P38" s="79">
        <v>10</v>
      </c>
      <c r="Q38" s="163">
        <v>5</v>
      </c>
      <c r="R38" s="166">
        <v>5</v>
      </c>
      <c r="S38" s="79">
        <f>R38+Q38+P38+O38+N38+M38+L38+K38+J38+I38+H38</f>
        <v>97</v>
      </c>
      <c r="T38" s="75"/>
      <c r="U38" s="75"/>
      <c r="V38" t="s" s="72">
        <v>43</v>
      </c>
      <c r="W38" s="82"/>
      <c r="X38" t="s" s="72">
        <v>43</v>
      </c>
      <c r="Y38" t="s" s="113">
        <v>161</v>
      </c>
      <c r="Z38" s="75"/>
      <c r="AA38" s="163">
        <v>10</v>
      </c>
      <c r="AB38" s="165">
        <v>9</v>
      </c>
      <c r="AC38" s="79">
        <v>10</v>
      </c>
      <c r="AD38" s="110">
        <v>20</v>
      </c>
      <c r="AE38" s="79">
        <v>10</v>
      </c>
      <c r="AF38" s="110">
        <v>5</v>
      </c>
      <c r="AG38" s="79">
        <v>30</v>
      </c>
      <c r="AH38" s="108">
        <f>SUM(AA38:AF38)+AG38</f>
        <v>94</v>
      </c>
      <c r="AI38" s="76"/>
      <c r="AJ38" s="75"/>
      <c r="AK38" s="76"/>
      <c r="AL38" s="112">
        <v>34</v>
      </c>
      <c r="AM38" s="110">
        <v>10</v>
      </c>
      <c r="AN38" s="79">
        <v>18</v>
      </c>
      <c r="AO38" s="110">
        <v>20</v>
      </c>
      <c r="AP38" s="79">
        <v>10</v>
      </c>
      <c r="AQ38" s="79">
        <v>13</v>
      </c>
      <c r="AR38" s="110">
        <v>14</v>
      </c>
      <c r="AS38" s="79">
        <v>10</v>
      </c>
      <c r="AT38" s="77">
        <v>3</v>
      </c>
      <c r="AU38" s="77">
        <f>SUM(AM38:AT38)</f>
        <v>98</v>
      </c>
      <c r="AV38" s="18"/>
      <c r="AW38" s="78">
        <v>34</v>
      </c>
      <c r="AX38" s="110">
        <f>AU38+0</f>
        <v>98</v>
      </c>
      <c r="AY38" s="75"/>
      <c r="AZ38" s="18"/>
      <c r="BA38" s="110">
        <f>AH38</f>
        <v>94</v>
      </c>
      <c r="BB38" s="75"/>
      <c r="BC38" s="18"/>
      <c r="BD38" s="110">
        <f>S38</f>
        <v>97</v>
      </c>
      <c r="BE38" s="75"/>
      <c r="BF38" s="18"/>
      <c r="BG38" s="76"/>
      <c r="BH38" s="75"/>
      <c r="BI38" s="18"/>
      <c r="BJ38" s="78">
        <v>34</v>
      </c>
      <c r="BK38" s="110">
        <f>AU38-1</f>
        <v>97</v>
      </c>
      <c r="BL38" s="75"/>
      <c r="BM38" s="18"/>
      <c r="BN38" s="110">
        <f>AH38-1</f>
        <v>93</v>
      </c>
      <c r="BO38" s="75"/>
      <c r="BP38" s="18"/>
      <c r="BQ38" s="110">
        <f>S38-1</f>
        <v>96</v>
      </c>
      <c r="BR38" s="75"/>
      <c r="BS38" s="18"/>
      <c r="BT38" s="76"/>
      <c r="BU38" s="75"/>
      <c r="BV38" s="18"/>
      <c r="BW38" s="78">
        <v>34</v>
      </c>
      <c r="BX38" s="110">
        <f>AU38+2</f>
        <v>100</v>
      </c>
      <c r="BY38" s="75"/>
      <c r="BZ38" s="18"/>
      <c r="CA38" s="110">
        <f>AH38+2</f>
        <v>96</v>
      </c>
      <c r="CB38" s="75"/>
      <c r="CC38" s="18"/>
      <c r="CD38" s="110">
        <f>S38+2</f>
        <v>99</v>
      </c>
      <c r="CE38" s="75"/>
      <c r="CF38" s="18"/>
      <c r="CG38" s="76"/>
      <c r="CH38" s="75"/>
      <c r="CI38" s="18"/>
      <c r="CJ38" s="78">
        <v>34</v>
      </c>
      <c r="CK38" s="110">
        <f>AU38+1</f>
        <v>99</v>
      </c>
      <c r="CL38" s="75"/>
      <c r="CM38" s="18"/>
      <c r="CN38" s="110">
        <f>AH38+1</f>
        <v>95</v>
      </c>
      <c r="CO38" s="75"/>
      <c r="CP38" s="18"/>
      <c r="CQ38" s="110">
        <f>S38+1</f>
        <v>98</v>
      </c>
      <c r="CR38" s="75"/>
      <c r="CS38" s="18"/>
      <c r="CT38" s="76"/>
      <c r="CU38" s="75"/>
      <c r="CV38" s="18"/>
      <c r="CW38" s="78">
        <v>34</v>
      </c>
      <c r="CX38" s="79">
        <f>(AX38+BA38+BD38+BG38)/4</f>
        <v>72.25</v>
      </c>
      <c r="CY38" s="79">
        <f>(BK38+BN38+BQ38+BT38)/4</f>
        <v>71.5</v>
      </c>
      <c r="CZ38" s="79">
        <f>(BX38+CA38+CD38+CG38)/4</f>
        <v>73.75</v>
      </c>
      <c r="DA38" s="79">
        <f>(CK38+CN38+CQ38+CT38)/4</f>
        <v>73</v>
      </c>
      <c r="DB38" s="18"/>
      <c r="DC38" s="80">
        <f>SUM(CX38:DA38)/4</f>
        <v>72.625</v>
      </c>
      <c r="DD38" s="18"/>
      <c r="DE38" s="79">
        <f>DC38*0.5</f>
        <v>36.3125</v>
      </c>
      <c r="DF38" s="75"/>
      <c r="DG38" s="79">
        <f>DF38*0.5</f>
        <v>0</v>
      </c>
      <c r="DH38" s="81">
        <f>DG38+DE38</f>
        <v>36.3125</v>
      </c>
      <c r="DI38" s="18"/>
      <c r="DJ38" s="79">
        <f>DC38*0.3</f>
        <v>21.7875</v>
      </c>
      <c r="DK38" s="75"/>
      <c r="DL38" s="79">
        <f>DK38*0.7</f>
        <v>0</v>
      </c>
      <c r="DM38" s="81">
        <f>DL38+DJ38</f>
        <v>21.7875</v>
      </c>
    </row>
    <row r="39" ht="15" customHeight="1">
      <c r="A39" s="7"/>
      <c r="B39" s="174">
        <v>35</v>
      </c>
      <c r="C39" t="s" s="70">
        <v>348</v>
      </c>
      <c r="D39" t="s" s="71">
        <v>349</v>
      </c>
      <c r="E39" t="s" s="172">
        <v>43</v>
      </c>
      <c r="F39" t="s" s="83">
        <v>43</v>
      </c>
      <c r="G39" s="75"/>
      <c r="H39" s="163">
        <v>10</v>
      </c>
      <c r="I39" s="166">
        <v>10</v>
      </c>
      <c r="J39" s="79">
        <v>10</v>
      </c>
      <c r="K39" s="79">
        <v>18</v>
      </c>
      <c r="L39" s="79">
        <v>4</v>
      </c>
      <c r="M39" s="79">
        <v>5</v>
      </c>
      <c r="N39" s="79">
        <v>8</v>
      </c>
      <c r="O39" s="79">
        <v>7</v>
      </c>
      <c r="P39" s="79">
        <v>5</v>
      </c>
      <c r="Q39" s="163">
        <v>3</v>
      </c>
      <c r="R39" s="166">
        <v>5</v>
      </c>
      <c r="S39" s="79">
        <f>R39+Q39+P39+O39+N39+M39+L39+K39+J39+I39+H39</f>
        <v>85</v>
      </c>
      <c r="T39" s="75"/>
      <c r="U39" s="75"/>
      <c r="V39" t="s" s="72">
        <v>43</v>
      </c>
      <c r="W39" s="82"/>
      <c r="X39" t="s" s="72">
        <v>43</v>
      </c>
      <c r="Y39" t="s" s="113">
        <v>43</v>
      </c>
      <c r="Z39" s="75"/>
      <c r="AA39" s="163">
        <v>10</v>
      </c>
      <c r="AB39" s="165">
        <v>9</v>
      </c>
      <c r="AC39" s="79">
        <v>9</v>
      </c>
      <c r="AD39" s="110">
        <v>20</v>
      </c>
      <c r="AE39" s="79">
        <v>10</v>
      </c>
      <c r="AF39" s="110">
        <v>5</v>
      </c>
      <c r="AG39" s="79">
        <v>30</v>
      </c>
      <c r="AH39" s="108">
        <f>SUM(AA39:AF39)+AG39</f>
        <v>93</v>
      </c>
      <c r="AI39" s="76"/>
      <c r="AJ39" s="75"/>
      <c r="AK39" s="76"/>
      <c r="AL39" s="112">
        <v>35</v>
      </c>
      <c r="AM39" s="110">
        <v>10</v>
      </c>
      <c r="AN39" s="79">
        <v>17</v>
      </c>
      <c r="AO39" s="110">
        <v>20</v>
      </c>
      <c r="AP39" s="79">
        <v>10</v>
      </c>
      <c r="AQ39" s="79">
        <v>8</v>
      </c>
      <c r="AR39" s="110">
        <v>14</v>
      </c>
      <c r="AS39" s="79">
        <v>10</v>
      </c>
      <c r="AT39" s="77">
        <v>3</v>
      </c>
      <c r="AU39" s="77">
        <f>SUM(AM39:AT39)</f>
        <v>92</v>
      </c>
      <c r="AV39" s="18"/>
      <c r="AW39" s="78">
        <v>35</v>
      </c>
      <c r="AX39" s="110">
        <f>AU39+0</f>
        <v>92</v>
      </c>
      <c r="AY39" s="75"/>
      <c r="AZ39" s="18"/>
      <c r="BA39" s="110">
        <f>AH39</f>
        <v>93</v>
      </c>
      <c r="BB39" s="75"/>
      <c r="BC39" s="18"/>
      <c r="BD39" s="110">
        <f>S39</f>
        <v>85</v>
      </c>
      <c r="BE39" s="75"/>
      <c r="BF39" s="18"/>
      <c r="BG39" s="76"/>
      <c r="BH39" s="75"/>
      <c r="BI39" s="18"/>
      <c r="BJ39" s="78">
        <v>35</v>
      </c>
      <c r="BK39" s="110">
        <f>AU39-1</f>
        <v>91</v>
      </c>
      <c r="BL39" s="75"/>
      <c r="BM39" s="18"/>
      <c r="BN39" s="110">
        <f>AH39-1</f>
        <v>92</v>
      </c>
      <c r="BO39" s="75"/>
      <c r="BP39" s="18"/>
      <c r="BQ39" s="110">
        <f>S39-1</f>
        <v>84</v>
      </c>
      <c r="BR39" s="75"/>
      <c r="BS39" s="18"/>
      <c r="BT39" s="76"/>
      <c r="BU39" s="75"/>
      <c r="BV39" s="18"/>
      <c r="BW39" s="78">
        <v>35</v>
      </c>
      <c r="BX39" s="110">
        <f>AU39+2</f>
        <v>94</v>
      </c>
      <c r="BY39" s="75"/>
      <c r="BZ39" s="18"/>
      <c r="CA39" s="110">
        <f>AH39+2</f>
        <v>95</v>
      </c>
      <c r="CB39" s="75"/>
      <c r="CC39" s="18"/>
      <c r="CD39" s="110">
        <f>S39+2</f>
        <v>87</v>
      </c>
      <c r="CE39" s="75"/>
      <c r="CF39" s="18"/>
      <c r="CG39" s="76"/>
      <c r="CH39" s="75"/>
      <c r="CI39" s="18"/>
      <c r="CJ39" s="78">
        <v>35</v>
      </c>
      <c r="CK39" s="110">
        <f>AU39+1</f>
        <v>93</v>
      </c>
      <c r="CL39" s="75"/>
      <c r="CM39" s="18"/>
      <c r="CN39" s="110">
        <f>AH39+1</f>
        <v>94</v>
      </c>
      <c r="CO39" s="75"/>
      <c r="CP39" s="18"/>
      <c r="CQ39" s="110">
        <f>S39+1</f>
        <v>86</v>
      </c>
      <c r="CR39" s="75"/>
      <c r="CS39" s="18"/>
      <c r="CT39" s="76"/>
      <c r="CU39" s="75"/>
      <c r="CV39" s="18"/>
      <c r="CW39" s="78">
        <v>35</v>
      </c>
      <c r="CX39" s="79">
        <f>(AX39+BA39+BD39+BG39)/4</f>
        <v>67.5</v>
      </c>
      <c r="CY39" s="79">
        <f>(BK39+BN39+BQ39+BT39)/4</f>
        <v>66.75</v>
      </c>
      <c r="CZ39" s="79">
        <f>(BX39+CA39+CD39+CG39)/4</f>
        <v>69</v>
      </c>
      <c r="DA39" s="79">
        <f>(CK39+CN39+CQ39+CT39)/4</f>
        <v>68.25</v>
      </c>
      <c r="DB39" s="18"/>
      <c r="DC39" s="80">
        <f>SUM(CX39:DA39)/4</f>
        <v>67.875</v>
      </c>
      <c r="DD39" s="18"/>
      <c r="DE39" s="79">
        <f>DC39*0.5</f>
        <v>33.9375</v>
      </c>
      <c r="DF39" s="75"/>
      <c r="DG39" s="79">
        <f>DF39*0.5</f>
        <v>0</v>
      </c>
      <c r="DH39" s="81">
        <f>DG39+DE39</f>
        <v>33.9375</v>
      </c>
      <c r="DI39" s="18"/>
      <c r="DJ39" s="79">
        <f>DC39*0.3</f>
        <v>20.3625</v>
      </c>
      <c r="DK39" s="75"/>
      <c r="DL39" s="79">
        <f>DK39*0.7</f>
        <v>0</v>
      </c>
      <c r="DM39" s="81">
        <f>DL39+DJ39</f>
        <v>20.3625</v>
      </c>
    </row>
    <row r="40" ht="15" customHeight="1">
      <c r="A40" s="7"/>
      <c r="B40" s="174">
        <v>36</v>
      </c>
      <c r="C40" t="s" s="70">
        <v>350</v>
      </c>
      <c r="D40" t="s" s="71">
        <v>351</v>
      </c>
      <c r="E40" t="s" s="172">
        <v>43</v>
      </c>
      <c r="F40" t="s" s="83">
        <v>43</v>
      </c>
      <c r="G40" s="75"/>
      <c r="H40" s="163">
        <v>10</v>
      </c>
      <c r="I40" s="166">
        <v>8</v>
      </c>
      <c r="J40" s="79">
        <v>9</v>
      </c>
      <c r="K40" s="79">
        <v>17</v>
      </c>
      <c r="L40" s="79">
        <v>4</v>
      </c>
      <c r="M40" s="79">
        <v>0</v>
      </c>
      <c r="N40" s="79">
        <v>0</v>
      </c>
      <c r="O40" s="79">
        <v>0</v>
      </c>
      <c r="P40" s="79">
        <v>0</v>
      </c>
      <c r="Q40" s="79">
        <v>0</v>
      </c>
      <c r="R40" s="79">
        <v>5</v>
      </c>
      <c r="S40" s="79">
        <f>R40+Q40+P40+O40+N40+M40+L40+K40+J40+I40+H40</f>
        <v>53</v>
      </c>
      <c r="T40" s="75"/>
      <c r="U40" s="75"/>
      <c r="V40" t="s" s="72">
        <v>43</v>
      </c>
      <c r="W40" s="82"/>
      <c r="X40" t="s" s="72">
        <v>43</v>
      </c>
      <c r="Y40" t="s" s="113">
        <v>43</v>
      </c>
      <c r="Z40" s="75"/>
      <c r="AA40" s="163">
        <v>10</v>
      </c>
      <c r="AB40" s="165">
        <v>8</v>
      </c>
      <c r="AC40" s="79">
        <v>9</v>
      </c>
      <c r="AD40" s="110">
        <v>10</v>
      </c>
      <c r="AE40" s="79">
        <v>0</v>
      </c>
      <c r="AF40" s="110">
        <v>5</v>
      </c>
      <c r="AG40" s="79">
        <v>30</v>
      </c>
      <c r="AH40" s="108">
        <f>SUM(AA40:AF40)+AG40</f>
        <v>72</v>
      </c>
      <c r="AI40" s="76"/>
      <c r="AJ40" s="75"/>
      <c r="AK40" s="76"/>
      <c r="AL40" s="112">
        <v>36</v>
      </c>
      <c r="AM40" s="110">
        <v>10</v>
      </c>
      <c r="AN40" s="79">
        <v>17</v>
      </c>
      <c r="AO40" s="110">
        <v>20</v>
      </c>
      <c r="AP40" s="79">
        <v>10</v>
      </c>
      <c r="AQ40" s="79">
        <v>10</v>
      </c>
      <c r="AR40" s="110">
        <v>13</v>
      </c>
      <c r="AS40" s="79">
        <v>10</v>
      </c>
      <c r="AT40" s="77">
        <v>3</v>
      </c>
      <c r="AU40" s="77">
        <f>SUM(AM40:AT40)</f>
        <v>93</v>
      </c>
      <c r="AV40" s="18"/>
      <c r="AW40" s="78">
        <v>36</v>
      </c>
      <c r="AX40" s="110">
        <f>AU40+0</f>
        <v>93</v>
      </c>
      <c r="AY40" s="75"/>
      <c r="AZ40" s="18"/>
      <c r="BA40" s="110">
        <f>AH40</f>
        <v>72</v>
      </c>
      <c r="BB40" s="75"/>
      <c r="BC40" s="18"/>
      <c r="BD40" s="110">
        <f>S40</f>
        <v>53</v>
      </c>
      <c r="BE40" s="75"/>
      <c r="BF40" s="18"/>
      <c r="BG40" s="76"/>
      <c r="BH40" s="75"/>
      <c r="BI40" s="18"/>
      <c r="BJ40" s="78">
        <v>36</v>
      </c>
      <c r="BK40" s="110">
        <f>AU40-1</f>
        <v>92</v>
      </c>
      <c r="BL40" s="75"/>
      <c r="BM40" s="18"/>
      <c r="BN40" s="110">
        <f>AH40-1</f>
        <v>71</v>
      </c>
      <c r="BO40" s="75"/>
      <c r="BP40" s="18"/>
      <c r="BQ40" s="110">
        <f>S40-1</f>
        <v>52</v>
      </c>
      <c r="BR40" s="75"/>
      <c r="BS40" s="18"/>
      <c r="BT40" s="76"/>
      <c r="BU40" s="75"/>
      <c r="BV40" s="18"/>
      <c r="BW40" s="78">
        <v>36</v>
      </c>
      <c r="BX40" s="110">
        <f>AU40+2</f>
        <v>95</v>
      </c>
      <c r="BY40" s="75"/>
      <c r="BZ40" s="18"/>
      <c r="CA40" s="110">
        <f>AH40+2</f>
        <v>74</v>
      </c>
      <c r="CB40" s="75"/>
      <c r="CC40" s="18"/>
      <c r="CD40" s="110">
        <f>S40+2</f>
        <v>55</v>
      </c>
      <c r="CE40" s="75"/>
      <c r="CF40" s="18"/>
      <c r="CG40" s="76"/>
      <c r="CH40" s="75"/>
      <c r="CI40" s="18"/>
      <c r="CJ40" s="78">
        <v>36</v>
      </c>
      <c r="CK40" s="110">
        <f>AU40+1</f>
        <v>94</v>
      </c>
      <c r="CL40" s="75"/>
      <c r="CM40" s="18"/>
      <c r="CN40" s="110">
        <f>AH40+1</f>
        <v>73</v>
      </c>
      <c r="CO40" s="75"/>
      <c r="CP40" s="18"/>
      <c r="CQ40" s="110">
        <f>S40+1</f>
        <v>54</v>
      </c>
      <c r="CR40" s="75"/>
      <c r="CS40" s="18"/>
      <c r="CT40" s="76"/>
      <c r="CU40" s="75"/>
      <c r="CV40" s="18"/>
      <c r="CW40" s="78">
        <v>36</v>
      </c>
      <c r="CX40" s="79">
        <f>(AX40+BA40+BD40+BG40)/4</f>
        <v>54.5</v>
      </c>
      <c r="CY40" s="79">
        <f>(BK40+BN40+BQ40+BT40)/4</f>
        <v>53.75</v>
      </c>
      <c r="CZ40" s="79">
        <f>(BX40+CA40+CD40+CG40)/4</f>
        <v>56</v>
      </c>
      <c r="DA40" s="79">
        <f>(CK40+CN40+CQ40+CT40)/4</f>
        <v>55.25</v>
      </c>
      <c r="DB40" s="18"/>
      <c r="DC40" s="80">
        <f>SUM(CX40:DA40)/4</f>
        <v>54.875</v>
      </c>
      <c r="DD40" s="18"/>
      <c r="DE40" s="79">
        <f>DC40*0.5</f>
        <v>27.4375</v>
      </c>
      <c r="DF40" s="75"/>
      <c r="DG40" s="79">
        <f>DF40*0.5</f>
        <v>0</v>
      </c>
      <c r="DH40" s="81">
        <f>DG40+DE40</f>
        <v>27.4375</v>
      </c>
      <c r="DI40" s="18"/>
      <c r="DJ40" s="79">
        <f>DC40*0.3</f>
        <v>16.4625</v>
      </c>
      <c r="DK40" s="75"/>
      <c r="DL40" s="79">
        <f>DK40*0.7</f>
        <v>0</v>
      </c>
      <c r="DM40" s="81">
        <f>DL40+DJ40</f>
        <v>16.4625</v>
      </c>
    </row>
    <row r="41" ht="15" customHeight="1">
      <c r="A41" s="7"/>
      <c r="B41" s="174">
        <v>37</v>
      </c>
      <c r="C41" t="s" s="70">
        <v>352</v>
      </c>
      <c r="D41" t="s" s="71">
        <v>353</v>
      </c>
      <c r="E41" t="s" s="172">
        <v>43</v>
      </c>
      <c r="F41" t="s" s="83">
        <v>43</v>
      </c>
      <c r="G41" s="75"/>
      <c r="H41" s="163">
        <v>10</v>
      </c>
      <c r="I41" s="166">
        <v>7</v>
      </c>
      <c r="J41" s="79">
        <v>8</v>
      </c>
      <c r="K41" s="75"/>
      <c r="L41" s="75"/>
      <c r="M41" s="79">
        <v>8</v>
      </c>
      <c r="N41" s="79">
        <v>5</v>
      </c>
      <c r="O41" s="79">
        <v>5</v>
      </c>
      <c r="P41" s="79">
        <v>6</v>
      </c>
      <c r="Q41" s="79">
        <v>0</v>
      </c>
      <c r="R41" s="79">
        <v>5</v>
      </c>
      <c r="S41" s="79">
        <f>R41+Q41+P41+O41+N41+M41+L41+K41+J41+I41+H41</f>
        <v>54</v>
      </c>
      <c r="T41" s="75"/>
      <c r="U41" s="75"/>
      <c r="V41" t="s" s="72">
        <v>43</v>
      </c>
      <c r="W41" s="82"/>
      <c r="X41" t="s" s="72">
        <v>43</v>
      </c>
      <c r="Y41" t="s" s="113">
        <v>43</v>
      </c>
      <c r="Z41" s="75"/>
      <c r="AA41" s="163">
        <v>10</v>
      </c>
      <c r="AB41" s="165">
        <v>8</v>
      </c>
      <c r="AC41" s="79">
        <v>7</v>
      </c>
      <c r="AD41" s="110">
        <v>0</v>
      </c>
      <c r="AE41" s="79">
        <v>0</v>
      </c>
      <c r="AF41" s="110">
        <v>5</v>
      </c>
      <c r="AG41" s="79">
        <v>30</v>
      </c>
      <c r="AH41" s="108">
        <f>SUM(AA41:AF41)+AG41</f>
        <v>60</v>
      </c>
      <c r="AI41" s="76"/>
      <c r="AJ41" s="75"/>
      <c r="AK41" s="76"/>
      <c r="AL41" s="112">
        <v>37</v>
      </c>
      <c r="AM41" s="110">
        <v>10</v>
      </c>
      <c r="AN41" s="79">
        <v>15</v>
      </c>
      <c r="AO41" s="110">
        <v>20</v>
      </c>
      <c r="AP41" s="79">
        <v>7</v>
      </c>
      <c r="AQ41" s="75"/>
      <c r="AR41" s="110">
        <v>14</v>
      </c>
      <c r="AS41" s="79">
        <v>10</v>
      </c>
      <c r="AT41" s="77">
        <v>3</v>
      </c>
      <c r="AU41" s="77">
        <f>SUM(AM41:AT41)</f>
        <v>79</v>
      </c>
      <c r="AV41" s="18"/>
      <c r="AW41" s="78">
        <v>37</v>
      </c>
      <c r="AX41" s="110">
        <f>AU41+0</f>
        <v>79</v>
      </c>
      <c r="AY41" s="75"/>
      <c r="AZ41" s="18"/>
      <c r="BA41" s="110">
        <f>AH41</f>
        <v>60</v>
      </c>
      <c r="BB41" s="79">
        <v>60</v>
      </c>
      <c r="BC41" s="18"/>
      <c r="BD41" s="110">
        <f>S41</f>
        <v>54</v>
      </c>
      <c r="BE41" s="75"/>
      <c r="BF41" s="18"/>
      <c r="BG41" s="76"/>
      <c r="BH41" s="75"/>
      <c r="BI41" s="18"/>
      <c r="BJ41" s="78">
        <v>37</v>
      </c>
      <c r="BK41" s="110">
        <f>AU41-1</f>
        <v>78</v>
      </c>
      <c r="BL41" s="75"/>
      <c r="BM41" s="18"/>
      <c r="BN41" s="110">
        <f>AH41-1</f>
        <v>59</v>
      </c>
      <c r="BO41" s="79">
        <v>60</v>
      </c>
      <c r="BP41" s="18"/>
      <c r="BQ41" s="110">
        <f>S41-1</f>
        <v>53</v>
      </c>
      <c r="BR41" s="75"/>
      <c r="BS41" s="18"/>
      <c r="BT41" s="76"/>
      <c r="BU41" s="75"/>
      <c r="BV41" s="18"/>
      <c r="BW41" s="78">
        <v>37</v>
      </c>
      <c r="BX41" s="110">
        <f>AU41+2</f>
        <v>81</v>
      </c>
      <c r="BY41" s="75"/>
      <c r="BZ41" s="18"/>
      <c r="CA41" s="110">
        <f>AH41+2</f>
        <v>62</v>
      </c>
      <c r="CB41" s="79">
        <v>60</v>
      </c>
      <c r="CC41" s="18"/>
      <c r="CD41" s="110">
        <f>S41+2</f>
        <v>56</v>
      </c>
      <c r="CE41" s="75"/>
      <c r="CF41" s="18"/>
      <c r="CG41" s="76"/>
      <c r="CH41" s="75"/>
      <c r="CI41" s="18"/>
      <c r="CJ41" s="78">
        <v>37</v>
      </c>
      <c r="CK41" s="110">
        <f>AU41+1</f>
        <v>80</v>
      </c>
      <c r="CL41" s="75"/>
      <c r="CM41" s="18"/>
      <c r="CN41" s="110">
        <f>AH41+1</f>
        <v>61</v>
      </c>
      <c r="CO41" s="79">
        <v>60</v>
      </c>
      <c r="CP41" s="18"/>
      <c r="CQ41" s="110">
        <f>S41+1</f>
        <v>55</v>
      </c>
      <c r="CR41" s="75"/>
      <c r="CS41" s="18"/>
      <c r="CT41" s="76"/>
      <c r="CU41" s="75"/>
      <c r="CV41" s="18"/>
      <c r="CW41" s="78">
        <v>37</v>
      </c>
      <c r="CX41" s="79">
        <f>(AX41+BA41+BD41+BG41)/4</f>
        <v>48.25</v>
      </c>
      <c r="CY41" s="79">
        <f>(BK41+BN41+BQ41+BT41)/4</f>
        <v>47.5</v>
      </c>
      <c r="CZ41" s="79">
        <f>(BX41+CA41+CD41+CG41)/4</f>
        <v>49.75</v>
      </c>
      <c r="DA41" s="79">
        <f>(CK41+CN41+CQ41+CT41)/4</f>
        <v>49</v>
      </c>
      <c r="DB41" s="18"/>
      <c r="DC41" s="80">
        <f>SUM(CX41:DA41)/4</f>
        <v>48.625</v>
      </c>
      <c r="DD41" s="18"/>
      <c r="DE41" s="79">
        <f>DC41*0.5</f>
        <v>24.3125</v>
      </c>
      <c r="DF41" s="75"/>
      <c r="DG41" s="79">
        <f>DF41*0.5</f>
        <v>0</v>
      </c>
      <c r="DH41" s="81">
        <f>DG41+DE41</f>
        <v>24.3125</v>
      </c>
      <c r="DI41" s="18"/>
      <c r="DJ41" s="79">
        <f>DC41*0.3</f>
        <v>14.5875</v>
      </c>
      <c r="DK41" s="75"/>
      <c r="DL41" s="79">
        <f>DK41*0.7</f>
        <v>0</v>
      </c>
      <c r="DM41" s="81">
        <f>DL41+DJ41</f>
        <v>14.5875</v>
      </c>
    </row>
    <row r="42" ht="15" customHeight="1">
      <c r="A42" s="7"/>
      <c r="B42" s="174">
        <v>38</v>
      </c>
      <c r="C42" t="s" s="70">
        <v>354</v>
      </c>
      <c r="D42" t="s" s="71">
        <v>355</v>
      </c>
      <c r="E42" t="s" s="172">
        <v>43</v>
      </c>
      <c r="F42" t="s" s="83">
        <v>43</v>
      </c>
      <c r="G42" s="75"/>
      <c r="H42" s="163">
        <v>10</v>
      </c>
      <c r="I42" s="166">
        <v>10</v>
      </c>
      <c r="J42" s="79">
        <v>8</v>
      </c>
      <c r="K42" s="79">
        <v>15</v>
      </c>
      <c r="L42" s="79">
        <v>7</v>
      </c>
      <c r="M42" s="79">
        <v>10</v>
      </c>
      <c r="N42" s="79">
        <v>10</v>
      </c>
      <c r="O42" s="79">
        <v>8</v>
      </c>
      <c r="P42" s="79">
        <v>8</v>
      </c>
      <c r="Q42" s="163">
        <v>5</v>
      </c>
      <c r="R42" s="166">
        <v>5</v>
      </c>
      <c r="S42" s="79">
        <f>R42+Q42+P42+O42+N42+M42+L42+K42+J42+I42+H42</f>
        <v>96</v>
      </c>
      <c r="T42" s="75"/>
      <c r="U42" s="75"/>
      <c r="V42" t="s" s="72">
        <v>43</v>
      </c>
      <c r="W42" s="82"/>
      <c r="X42" t="s" s="72">
        <v>43</v>
      </c>
      <c r="Y42" t="s" s="113">
        <v>43</v>
      </c>
      <c r="Z42" s="75"/>
      <c r="AA42" s="163">
        <v>10</v>
      </c>
      <c r="AB42" s="165">
        <v>10</v>
      </c>
      <c r="AC42" s="79">
        <v>10</v>
      </c>
      <c r="AD42" s="110">
        <v>20</v>
      </c>
      <c r="AE42" s="79">
        <v>10</v>
      </c>
      <c r="AF42" s="110">
        <v>10</v>
      </c>
      <c r="AG42" s="79">
        <v>30</v>
      </c>
      <c r="AH42" s="108">
        <f>SUM(AA42:AF42)+AG42</f>
        <v>100</v>
      </c>
      <c r="AI42" s="76"/>
      <c r="AJ42" s="75"/>
      <c r="AK42" s="76"/>
      <c r="AL42" s="112">
        <v>38</v>
      </c>
      <c r="AM42" s="110">
        <v>10</v>
      </c>
      <c r="AN42" s="79">
        <v>18</v>
      </c>
      <c r="AO42" s="110">
        <v>20</v>
      </c>
      <c r="AP42" s="79">
        <v>10</v>
      </c>
      <c r="AQ42" s="79">
        <v>14</v>
      </c>
      <c r="AR42" s="110">
        <v>14</v>
      </c>
      <c r="AS42" s="79">
        <v>10</v>
      </c>
      <c r="AT42" s="77">
        <v>3</v>
      </c>
      <c r="AU42" s="77">
        <f>SUM(AM42:AT42)</f>
        <v>99</v>
      </c>
      <c r="AV42" s="18"/>
      <c r="AW42" s="78">
        <v>38</v>
      </c>
      <c r="AX42" s="110">
        <f>AU42+0</f>
        <v>99</v>
      </c>
      <c r="AY42" s="75"/>
      <c r="AZ42" s="18"/>
      <c r="BA42" s="110">
        <f>AH42</f>
        <v>100</v>
      </c>
      <c r="BB42" s="75"/>
      <c r="BC42" s="18"/>
      <c r="BD42" s="110">
        <f>S42</f>
        <v>96</v>
      </c>
      <c r="BE42" s="75"/>
      <c r="BF42" s="18"/>
      <c r="BG42" s="76"/>
      <c r="BH42" s="75"/>
      <c r="BI42" s="18"/>
      <c r="BJ42" s="78">
        <v>38</v>
      </c>
      <c r="BK42" s="110">
        <f>AU42-1</f>
        <v>98</v>
      </c>
      <c r="BL42" s="75"/>
      <c r="BM42" s="18"/>
      <c r="BN42" s="110">
        <f>AH42-1</f>
        <v>99</v>
      </c>
      <c r="BO42" s="75"/>
      <c r="BP42" s="18"/>
      <c r="BQ42" s="110">
        <f>S42-1</f>
        <v>95</v>
      </c>
      <c r="BR42" s="75"/>
      <c r="BS42" s="18"/>
      <c r="BT42" s="76"/>
      <c r="BU42" s="75"/>
      <c r="BV42" s="18"/>
      <c r="BW42" s="78">
        <v>38</v>
      </c>
      <c r="BX42" s="110">
        <v>100</v>
      </c>
      <c r="BY42" s="75"/>
      <c r="BZ42" s="18"/>
      <c r="CA42" s="110">
        <v>100</v>
      </c>
      <c r="CB42" s="75"/>
      <c r="CC42" s="18"/>
      <c r="CD42" s="110">
        <f>S42+2</f>
        <v>98</v>
      </c>
      <c r="CE42" s="75"/>
      <c r="CF42" s="18"/>
      <c r="CG42" s="76"/>
      <c r="CH42" s="75"/>
      <c r="CI42" s="18"/>
      <c r="CJ42" s="78">
        <v>38</v>
      </c>
      <c r="CK42" s="110">
        <f>AU42+1</f>
        <v>100</v>
      </c>
      <c r="CL42" s="75"/>
      <c r="CM42" s="18"/>
      <c r="CN42" s="110">
        <v>100</v>
      </c>
      <c r="CO42" s="75"/>
      <c r="CP42" s="18"/>
      <c r="CQ42" s="110">
        <f>S42+1</f>
        <v>97</v>
      </c>
      <c r="CR42" s="75"/>
      <c r="CS42" s="18"/>
      <c r="CT42" s="76"/>
      <c r="CU42" s="75"/>
      <c r="CV42" s="18"/>
      <c r="CW42" s="78">
        <v>38</v>
      </c>
      <c r="CX42" s="79">
        <f>(AX42+BA42+BD42+BG42)/4</f>
        <v>73.75</v>
      </c>
      <c r="CY42" s="79">
        <f>(BK42+BN42+BQ42+BT42)/4</f>
        <v>73</v>
      </c>
      <c r="CZ42" s="79">
        <f>(BX42+CA42+CD42+CG42)/4</f>
        <v>74.5</v>
      </c>
      <c r="DA42" s="79">
        <f>(CK42+CN42+CQ42+CT42)/4</f>
        <v>74.25</v>
      </c>
      <c r="DB42" s="18"/>
      <c r="DC42" s="80">
        <f>SUM(CX42:DA42)/4</f>
        <v>73.875</v>
      </c>
      <c r="DD42" s="18"/>
      <c r="DE42" s="79">
        <f>DC42*0.5</f>
        <v>36.9375</v>
      </c>
      <c r="DF42" s="75"/>
      <c r="DG42" s="79">
        <f>DF42*0.5</f>
        <v>0</v>
      </c>
      <c r="DH42" s="81">
        <f>DG42+DE42</f>
        <v>36.9375</v>
      </c>
      <c r="DI42" s="18"/>
      <c r="DJ42" s="79">
        <f>DC42*0.3</f>
        <v>22.1625</v>
      </c>
      <c r="DK42" s="75"/>
      <c r="DL42" s="79">
        <f>DK42*0.7</f>
        <v>0</v>
      </c>
      <c r="DM42" s="81">
        <f>DL42+DJ42</f>
        <v>22.1625</v>
      </c>
    </row>
    <row r="43" ht="15" customHeight="1">
      <c r="A43" s="7"/>
      <c r="B43" s="174">
        <v>39</v>
      </c>
      <c r="C43" t="s" s="70">
        <v>356</v>
      </c>
      <c r="D43" t="s" s="71">
        <v>357</v>
      </c>
      <c r="E43" t="s" s="172">
        <v>163</v>
      </c>
      <c r="F43" t="s" s="83">
        <v>43</v>
      </c>
      <c r="G43" s="75"/>
      <c r="H43" s="163">
        <v>10</v>
      </c>
      <c r="I43" s="166">
        <v>10</v>
      </c>
      <c r="J43" s="79">
        <v>9</v>
      </c>
      <c r="K43" s="79">
        <v>18</v>
      </c>
      <c r="L43" s="79">
        <v>10</v>
      </c>
      <c r="M43" s="79">
        <v>10</v>
      </c>
      <c r="N43" s="79">
        <v>10</v>
      </c>
      <c r="O43" s="79">
        <v>5</v>
      </c>
      <c r="P43" s="79">
        <v>6</v>
      </c>
      <c r="Q43" s="79">
        <v>5</v>
      </c>
      <c r="R43" s="79">
        <v>5</v>
      </c>
      <c r="S43" s="79">
        <f>R43+Q43+P43+O43+N43+M43+L43+K43+J43+I43+H43</f>
        <v>98</v>
      </c>
      <c r="T43" s="75"/>
      <c r="U43" s="75"/>
      <c r="V43" t="s" s="72">
        <v>43</v>
      </c>
      <c r="W43" t="s" s="113">
        <v>358</v>
      </c>
      <c r="X43" t="s" s="72">
        <v>43</v>
      </c>
      <c r="Y43" t="s" s="113">
        <v>359</v>
      </c>
      <c r="Z43" s="75"/>
      <c r="AA43" s="163">
        <v>10</v>
      </c>
      <c r="AB43" s="165">
        <v>10</v>
      </c>
      <c r="AC43" s="79">
        <v>10</v>
      </c>
      <c r="AD43" s="110">
        <v>19</v>
      </c>
      <c r="AE43" s="79">
        <v>10</v>
      </c>
      <c r="AF43" s="110">
        <v>5</v>
      </c>
      <c r="AG43" s="79">
        <v>30</v>
      </c>
      <c r="AH43" s="108">
        <f>SUM(AA43:AF43)+AG43</f>
        <v>94</v>
      </c>
      <c r="AI43" s="76"/>
      <c r="AJ43" s="75"/>
      <c r="AK43" s="76"/>
      <c r="AL43" s="112">
        <v>39</v>
      </c>
      <c r="AM43" s="110">
        <v>10</v>
      </c>
      <c r="AN43" s="79">
        <v>15</v>
      </c>
      <c r="AO43" s="110">
        <v>20</v>
      </c>
      <c r="AP43" s="79">
        <v>10</v>
      </c>
      <c r="AQ43" s="79">
        <v>5</v>
      </c>
      <c r="AR43" s="110">
        <v>14</v>
      </c>
      <c r="AS43" s="79">
        <v>10</v>
      </c>
      <c r="AT43" s="77">
        <v>3</v>
      </c>
      <c r="AU43" s="77">
        <f>SUM(AM43:AT43)</f>
        <v>87</v>
      </c>
      <c r="AV43" s="112">
        <v>87</v>
      </c>
      <c r="AW43" s="78">
        <v>39</v>
      </c>
      <c r="AX43" s="110">
        <f>AU43+0</f>
        <v>87</v>
      </c>
      <c r="AY43" s="75"/>
      <c r="AZ43" s="18"/>
      <c r="BA43" s="110">
        <f>AH43</f>
        <v>94</v>
      </c>
      <c r="BB43" s="75"/>
      <c r="BC43" s="18"/>
      <c r="BD43" s="110">
        <f>S43</f>
        <v>98</v>
      </c>
      <c r="BE43" s="75"/>
      <c r="BF43" s="18"/>
      <c r="BG43" s="76"/>
      <c r="BH43" s="75"/>
      <c r="BI43" s="18"/>
      <c r="BJ43" s="78">
        <v>39</v>
      </c>
      <c r="BK43" s="110">
        <f>AU43-1</f>
        <v>86</v>
      </c>
      <c r="BL43" s="75"/>
      <c r="BM43" s="18"/>
      <c r="BN43" s="110">
        <f>AH43-1</f>
        <v>93</v>
      </c>
      <c r="BO43" s="75"/>
      <c r="BP43" s="18"/>
      <c r="BQ43" s="110">
        <f>S43-1</f>
        <v>97</v>
      </c>
      <c r="BR43" s="75"/>
      <c r="BS43" s="18"/>
      <c r="BT43" s="76"/>
      <c r="BU43" s="75"/>
      <c r="BV43" s="18"/>
      <c r="BW43" s="78">
        <v>39</v>
      </c>
      <c r="BX43" s="110">
        <f>AU43+2</f>
        <v>89</v>
      </c>
      <c r="BY43" s="75"/>
      <c r="BZ43" s="18"/>
      <c r="CA43" s="110">
        <f>AH43+2</f>
        <v>96</v>
      </c>
      <c r="CB43" s="75"/>
      <c r="CC43" s="18"/>
      <c r="CD43" s="110">
        <f>S43+2</f>
        <v>100</v>
      </c>
      <c r="CE43" s="75"/>
      <c r="CF43" s="18"/>
      <c r="CG43" s="76"/>
      <c r="CH43" s="75"/>
      <c r="CI43" s="18"/>
      <c r="CJ43" s="78">
        <v>39</v>
      </c>
      <c r="CK43" s="110">
        <f>AU43+1</f>
        <v>88</v>
      </c>
      <c r="CL43" s="75"/>
      <c r="CM43" s="18"/>
      <c r="CN43" s="110">
        <f>AH43+1</f>
        <v>95</v>
      </c>
      <c r="CO43" s="75"/>
      <c r="CP43" s="18"/>
      <c r="CQ43" s="110">
        <f>S43+1</f>
        <v>99</v>
      </c>
      <c r="CR43" s="75"/>
      <c r="CS43" s="18"/>
      <c r="CT43" s="76"/>
      <c r="CU43" s="75"/>
      <c r="CV43" s="18"/>
      <c r="CW43" s="78">
        <v>39</v>
      </c>
      <c r="CX43" s="79">
        <f>(AX43+BA43+BD43+BG43)/4</f>
        <v>69.75</v>
      </c>
      <c r="CY43" s="79">
        <f>(BK43+BN43+BQ43+BT43)/4</f>
        <v>69</v>
      </c>
      <c r="CZ43" s="79">
        <f>(BX43+CA43+CD43+CG43)/4</f>
        <v>71.25</v>
      </c>
      <c r="DA43" s="79">
        <f>(CK43+CN43+CQ43+CT43)/4</f>
        <v>70.5</v>
      </c>
      <c r="DB43" s="18"/>
      <c r="DC43" s="80">
        <f>SUM(CX43:DA43)/4</f>
        <v>70.125</v>
      </c>
      <c r="DD43" s="18"/>
      <c r="DE43" s="79">
        <f>DC43*0.5</f>
        <v>35.0625</v>
      </c>
      <c r="DF43" s="75"/>
      <c r="DG43" s="79">
        <f>DF43*0.5</f>
        <v>0</v>
      </c>
      <c r="DH43" s="81">
        <f>DG43+DE43</f>
        <v>35.0625</v>
      </c>
      <c r="DI43" s="18"/>
      <c r="DJ43" s="79">
        <f>DC43*0.3</f>
        <v>21.0375</v>
      </c>
      <c r="DK43" s="75"/>
      <c r="DL43" s="79">
        <f>DK43*0.7</f>
        <v>0</v>
      </c>
      <c r="DM43" s="81">
        <f>DL43+DJ43</f>
        <v>21.0375</v>
      </c>
    </row>
    <row r="44" ht="15" customHeight="1">
      <c r="A44" s="7"/>
      <c r="B44" s="174">
        <v>40</v>
      </c>
      <c r="C44" t="s" s="70">
        <v>360</v>
      </c>
      <c r="D44" t="s" s="71">
        <v>361</v>
      </c>
      <c r="E44" t="s" s="172">
        <v>43</v>
      </c>
      <c r="F44" t="s" s="83">
        <v>43</v>
      </c>
      <c r="G44" s="75"/>
      <c r="H44" s="163">
        <v>10</v>
      </c>
      <c r="I44" s="166">
        <v>10</v>
      </c>
      <c r="J44" s="79">
        <v>10</v>
      </c>
      <c r="K44" s="75"/>
      <c r="L44" s="75"/>
      <c r="M44" s="79">
        <v>10</v>
      </c>
      <c r="N44" s="79">
        <v>10</v>
      </c>
      <c r="O44" s="79">
        <v>10</v>
      </c>
      <c r="P44" s="79">
        <v>10</v>
      </c>
      <c r="Q44" s="163">
        <v>5</v>
      </c>
      <c r="R44" s="166">
        <v>5</v>
      </c>
      <c r="S44" s="79">
        <f>R44+Q44+P44+O44+N44+M44+L44+K44+J44+I44+H44</f>
        <v>80</v>
      </c>
      <c r="T44" s="75"/>
      <c r="U44" s="75"/>
      <c r="V44" t="s" s="72">
        <v>43</v>
      </c>
      <c r="W44" s="82"/>
      <c r="X44" t="s" s="72">
        <v>43</v>
      </c>
      <c r="Y44" t="s" s="113">
        <v>43</v>
      </c>
      <c r="Z44" s="75"/>
      <c r="AA44" s="163">
        <v>10</v>
      </c>
      <c r="AB44" s="165">
        <v>10</v>
      </c>
      <c r="AC44" s="79">
        <v>10</v>
      </c>
      <c r="AD44" s="110">
        <v>20</v>
      </c>
      <c r="AE44" s="79">
        <v>10</v>
      </c>
      <c r="AF44" s="110">
        <v>10</v>
      </c>
      <c r="AG44" s="79">
        <v>30</v>
      </c>
      <c r="AH44" s="108">
        <f>SUM(AA44:AF44)+AG44</f>
        <v>100</v>
      </c>
      <c r="AI44" s="76"/>
      <c r="AJ44" s="75"/>
      <c r="AK44" t="s" s="130">
        <v>282</v>
      </c>
      <c r="AL44" s="112">
        <v>40</v>
      </c>
      <c r="AM44" s="110">
        <v>10</v>
      </c>
      <c r="AN44" s="79">
        <v>14</v>
      </c>
      <c r="AO44" s="110">
        <v>20</v>
      </c>
      <c r="AP44" s="79">
        <v>4</v>
      </c>
      <c r="AQ44" s="79">
        <v>10</v>
      </c>
      <c r="AR44" s="110">
        <v>14</v>
      </c>
      <c r="AS44" s="79">
        <v>10</v>
      </c>
      <c r="AT44" s="77">
        <v>3</v>
      </c>
      <c r="AU44" s="77">
        <f>SUM(AM44:AT44)</f>
        <v>85</v>
      </c>
      <c r="AV44" s="18"/>
      <c r="AW44" s="78">
        <v>40</v>
      </c>
      <c r="AX44" s="110">
        <f>AU44+0</f>
        <v>85</v>
      </c>
      <c r="AY44" s="75"/>
      <c r="AZ44" s="18"/>
      <c r="BA44" s="110">
        <f>AH44</f>
        <v>100</v>
      </c>
      <c r="BB44" s="75"/>
      <c r="BC44" s="18"/>
      <c r="BD44" s="110">
        <f>S44</f>
        <v>80</v>
      </c>
      <c r="BE44" s="75"/>
      <c r="BF44" s="18"/>
      <c r="BG44" s="76"/>
      <c r="BH44" s="75"/>
      <c r="BI44" s="18"/>
      <c r="BJ44" s="78">
        <v>40</v>
      </c>
      <c r="BK44" s="110">
        <f>AU44-1</f>
        <v>84</v>
      </c>
      <c r="BL44" s="75"/>
      <c r="BM44" s="18"/>
      <c r="BN44" s="110">
        <f>AH44-1</f>
        <v>99</v>
      </c>
      <c r="BO44" s="75"/>
      <c r="BP44" s="18"/>
      <c r="BQ44" s="110">
        <f>S44-1</f>
        <v>79</v>
      </c>
      <c r="BR44" s="75"/>
      <c r="BS44" s="18"/>
      <c r="BT44" s="76"/>
      <c r="BU44" s="75"/>
      <c r="BV44" s="18"/>
      <c r="BW44" s="78">
        <v>40</v>
      </c>
      <c r="BX44" s="110">
        <f>AU44+2</f>
        <v>87</v>
      </c>
      <c r="BY44" s="75"/>
      <c r="BZ44" s="18"/>
      <c r="CA44" s="110">
        <v>100</v>
      </c>
      <c r="CB44" s="75"/>
      <c r="CC44" s="18"/>
      <c r="CD44" s="110">
        <f>S44+2</f>
        <v>82</v>
      </c>
      <c r="CE44" s="75"/>
      <c r="CF44" s="18"/>
      <c r="CG44" s="76"/>
      <c r="CH44" s="75"/>
      <c r="CI44" s="18"/>
      <c r="CJ44" s="78">
        <v>40</v>
      </c>
      <c r="CK44" s="110">
        <f>AU44+1</f>
        <v>86</v>
      </c>
      <c r="CL44" s="75"/>
      <c r="CM44" s="18"/>
      <c r="CN44" s="110">
        <v>100</v>
      </c>
      <c r="CO44" s="75"/>
      <c r="CP44" s="18"/>
      <c r="CQ44" s="110">
        <f>S44+1</f>
        <v>81</v>
      </c>
      <c r="CR44" s="75"/>
      <c r="CS44" s="18"/>
      <c r="CT44" s="76"/>
      <c r="CU44" s="75"/>
      <c r="CV44" s="18"/>
      <c r="CW44" s="78">
        <v>40</v>
      </c>
      <c r="CX44" s="79">
        <f>(AX44+BA44+BD44+BG44)/4</f>
        <v>66.25</v>
      </c>
      <c r="CY44" s="79">
        <f>(BK44+BN44+BQ44+BT44)/4</f>
        <v>65.5</v>
      </c>
      <c r="CZ44" s="79">
        <f>(BX44+CA44+CD44+CG44)/4</f>
        <v>67.25</v>
      </c>
      <c r="DA44" s="79">
        <f>(CK44+CN44+CQ44+CT44)/4</f>
        <v>66.75</v>
      </c>
      <c r="DB44" s="18"/>
      <c r="DC44" s="80">
        <f>SUM(CX44:DA44)/4</f>
        <v>66.4375</v>
      </c>
      <c r="DD44" s="18"/>
      <c r="DE44" s="79">
        <f>DC44*0.5</f>
        <v>33.21875</v>
      </c>
      <c r="DF44" s="75"/>
      <c r="DG44" s="79">
        <f>DF44*0.5</f>
        <v>0</v>
      </c>
      <c r="DH44" s="81">
        <f>DG44+DE44</f>
        <v>33.21875</v>
      </c>
      <c r="DI44" s="18"/>
      <c r="DJ44" s="79">
        <f>DC44*0.3</f>
        <v>19.93125</v>
      </c>
      <c r="DK44" s="75"/>
      <c r="DL44" s="79">
        <f>DK44*0.7</f>
        <v>0</v>
      </c>
      <c r="DM44" s="81">
        <f>DL44+DJ44</f>
        <v>19.93125</v>
      </c>
    </row>
    <row r="45" ht="15" customHeight="1">
      <c r="A45" s="7"/>
      <c r="B45" s="174">
        <v>41</v>
      </c>
      <c r="C45" t="s" s="175">
        <v>362</v>
      </c>
      <c r="D45" t="s" s="176">
        <v>363</v>
      </c>
      <c r="E45" t="s" s="172">
        <v>43</v>
      </c>
      <c r="F45" t="s" s="83">
        <v>43</v>
      </c>
      <c r="G45" s="75"/>
      <c r="H45" s="163">
        <v>10</v>
      </c>
      <c r="I45" s="166">
        <v>7</v>
      </c>
      <c r="J45" s="79">
        <v>8</v>
      </c>
      <c r="K45" s="75"/>
      <c r="L45" s="75"/>
      <c r="M45" s="79">
        <v>5</v>
      </c>
      <c r="N45" s="79">
        <v>8</v>
      </c>
      <c r="O45" s="79">
        <v>7</v>
      </c>
      <c r="P45" s="79">
        <v>5</v>
      </c>
      <c r="Q45" s="163">
        <v>3</v>
      </c>
      <c r="R45" s="166">
        <v>5</v>
      </c>
      <c r="S45" s="79">
        <f>R45+Q45+P45+O45+N45+M45+L45+K45+J45+I45+H45</f>
        <v>58</v>
      </c>
      <c r="T45" s="75"/>
      <c r="U45" s="75"/>
      <c r="V45" t="s" s="72">
        <v>43</v>
      </c>
      <c r="W45" s="82"/>
      <c r="X45" t="s" s="72">
        <v>43</v>
      </c>
      <c r="Y45" t="s" s="113">
        <v>43</v>
      </c>
      <c r="Z45" s="75"/>
      <c r="AA45" s="163">
        <v>10</v>
      </c>
      <c r="AB45" s="165">
        <v>8</v>
      </c>
      <c r="AC45" s="79">
        <v>7</v>
      </c>
      <c r="AD45" s="110">
        <v>0</v>
      </c>
      <c r="AE45" s="79">
        <v>0</v>
      </c>
      <c r="AF45" s="110">
        <v>5</v>
      </c>
      <c r="AG45" s="79">
        <v>30</v>
      </c>
      <c r="AH45" s="108">
        <f>SUM(AA45:AF45)+AG45</f>
        <v>60</v>
      </c>
      <c r="AI45" s="76"/>
      <c r="AJ45" s="75"/>
      <c r="AK45" t="s" s="130">
        <v>282</v>
      </c>
      <c r="AL45" s="112">
        <v>41</v>
      </c>
      <c r="AM45" s="110">
        <v>10</v>
      </c>
      <c r="AN45" s="79">
        <v>15</v>
      </c>
      <c r="AO45" s="110">
        <v>20</v>
      </c>
      <c r="AP45" s="79">
        <v>0</v>
      </c>
      <c r="AQ45" s="79">
        <v>0</v>
      </c>
      <c r="AR45" s="110">
        <v>13</v>
      </c>
      <c r="AS45" s="79">
        <v>10</v>
      </c>
      <c r="AT45" s="77">
        <v>3</v>
      </c>
      <c r="AU45" s="77">
        <f>SUM(AM45:AT45)</f>
        <v>71</v>
      </c>
      <c r="AV45" s="18"/>
      <c r="AW45" s="78">
        <v>41</v>
      </c>
      <c r="AX45" s="110">
        <f>AU45+0</f>
        <v>71</v>
      </c>
      <c r="AY45" s="75"/>
      <c r="AZ45" s="18"/>
      <c r="BA45" s="110">
        <f>AH45</f>
        <v>60</v>
      </c>
      <c r="BB45" s="79">
        <v>60</v>
      </c>
      <c r="BC45" s="18"/>
      <c r="BD45" s="110">
        <f>S45</f>
        <v>58</v>
      </c>
      <c r="BE45" s="75"/>
      <c r="BF45" s="18"/>
      <c r="BG45" s="76"/>
      <c r="BH45" s="75"/>
      <c r="BI45" s="18"/>
      <c r="BJ45" s="78">
        <v>41</v>
      </c>
      <c r="BK45" s="110">
        <f>AU45-1</f>
        <v>70</v>
      </c>
      <c r="BL45" s="75"/>
      <c r="BM45" s="18"/>
      <c r="BN45" s="110">
        <f>AH45-1</f>
        <v>59</v>
      </c>
      <c r="BO45" s="79">
        <v>60</v>
      </c>
      <c r="BP45" s="18"/>
      <c r="BQ45" s="110">
        <f>S45-1</f>
        <v>57</v>
      </c>
      <c r="BR45" s="75"/>
      <c r="BS45" s="18"/>
      <c r="BT45" s="76"/>
      <c r="BU45" s="75"/>
      <c r="BV45" s="18"/>
      <c r="BW45" s="78">
        <v>41</v>
      </c>
      <c r="BX45" s="110">
        <f>AU45+2</f>
        <v>73</v>
      </c>
      <c r="BY45" s="75"/>
      <c r="BZ45" s="18"/>
      <c r="CA45" s="110">
        <f>AH45+2</f>
        <v>62</v>
      </c>
      <c r="CB45" s="79">
        <v>60</v>
      </c>
      <c r="CC45" s="18"/>
      <c r="CD45" s="110">
        <f>S45+2</f>
        <v>60</v>
      </c>
      <c r="CE45" s="75"/>
      <c r="CF45" s="18"/>
      <c r="CG45" s="76"/>
      <c r="CH45" s="75"/>
      <c r="CI45" s="18"/>
      <c r="CJ45" s="78">
        <v>41</v>
      </c>
      <c r="CK45" s="110">
        <f>AU45+1</f>
        <v>72</v>
      </c>
      <c r="CL45" s="75"/>
      <c r="CM45" s="18"/>
      <c r="CN45" s="110">
        <f>AH45+1</f>
        <v>61</v>
      </c>
      <c r="CO45" s="79">
        <v>60</v>
      </c>
      <c r="CP45" s="18"/>
      <c r="CQ45" s="110">
        <f>S45+1</f>
        <v>59</v>
      </c>
      <c r="CR45" s="75"/>
      <c r="CS45" s="18"/>
      <c r="CT45" s="76"/>
      <c r="CU45" s="75"/>
      <c r="CV45" s="18"/>
      <c r="CW45" s="78">
        <v>41</v>
      </c>
      <c r="CX45" s="79">
        <f>(AX45+BA45+BD45+BG45)/4</f>
        <v>47.25</v>
      </c>
      <c r="CY45" s="79">
        <f>(BK45+BN45+BQ45+BT45)/4</f>
        <v>46.5</v>
      </c>
      <c r="CZ45" s="79">
        <f>(BX45+CA45+CD45+CG45)/4</f>
        <v>48.75</v>
      </c>
      <c r="DA45" s="79">
        <f>(CK45+CN45+CQ45+CT45)/4</f>
        <v>48</v>
      </c>
      <c r="DB45" s="18"/>
      <c r="DC45" s="80">
        <f>SUM(CX45:DA45)/4</f>
        <v>47.625</v>
      </c>
      <c r="DD45" s="18"/>
      <c r="DE45" s="79">
        <f>DC45*0.5</f>
        <v>23.8125</v>
      </c>
      <c r="DF45" s="75"/>
      <c r="DG45" s="79">
        <f>DF45*0.5</f>
        <v>0</v>
      </c>
      <c r="DH45" s="81">
        <f>DG45+DE45</f>
        <v>23.8125</v>
      </c>
      <c r="DI45" s="18"/>
      <c r="DJ45" s="79">
        <f>DC45*0.3</f>
        <v>14.2875</v>
      </c>
      <c r="DK45" s="75"/>
      <c r="DL45" s="79">
        <f>DK45*0.7</f>
        <v>0</v>
      </c>
      <c r="DM45" s="81">
        <f>DL45+DJ45</f>
        <v>14.2875</v>
      </c>
    </row>
    <row r="46" ht="15" customHeight="1">
      <c r="A46" s="7"/>
      <c r="B46" s="177">
        <v>42</v>
      </c>
      <c r="C46" t="s" s="178">
        <v>364</v>
      </c>
      <c r="D46" s="7"/>
      <c r="E46" t="s" s="179">
        <v>43</v>
      </c>
      <c r="F46" t="s" s="83">
        <v>43</v>
      </c>
      <c r="G46" s="75"/>
      <c r="H46" s="79">
        <v>10</v>
      </c>
      <c r="I46" s="79">
        <v>7</v>
      </c>
      <c r="J46" s="79">
        <v>8</v>
      </c>
      <c r="K46" s="79">
        <v>0</v>
      </c>
      <c r="L46" s="79">
        <v>0</v>
      </c>
      <c r="M46" s="79">
        <v>5</v>
      </c>
      <c r="N46" s="79">
        <v>7</v>
      </c>
      <c r="O46" s="79">
        <v>7</v>
      </c>
      <c r="P46" s="163">
        <v>5</v>
      </c>
      <c r="Q46" s="180">
        <v>0</v>
      </c>
      <c r="R46" s="150">
        <v>5</v>
      </c>
      <c r="S46" s="150">
        <f>R46+Q46+P46+O46+N46+M46+L46+K46+J46+I46+H46</f>
        <v>54</v>
      </c>
      <c r="T46" s="11"/>
      <c r="U46" s="11"/>
      <c r="V46" s="11"/>
      <c r="W46" t="s" s="181">
        <v>358</v>
      </c>
      <c r="X46" t="s" s="182">
        <v>161</v>
      </c>
      <c r="Y46" t="s" s="183">
        <v>43</v>
      </c>
      <c r="Z46" s="11"/>
      <c r="AA46" s="150">
        <v>8</v>
      </c>
      <c r="AB46" s="184">
        <v>8</v>
      </c>
      <c r="AC46" s="150">
        <v>9</v>
      </c>
      <c r="AD46" s="150">
        <v>10</v>
      </c>
      <c r="AE46" s="150">
        <v>0</v>
      </c>
      <c r="AF46" s="150">
        <v>5</v>
      </c>
      <c r="AG46" s="150">
        <v>30</v>
      </c>
      <c r="AH46" s="151">
        <f>SUM(AA46:AF46)+AG46</f>
        <v>70</v>
      </c>
      <c r="AI46" t="s" s="182">
        <v>187</v>
      </c>
      <c r="AJ46" s="11"/>
      <c r="AK46" s="11"/>
      <c r="AL46" s="23"/>
      <c r="AM46" s="150">
        <v>8</v>
      </c>
      <c r="AN46" s="150">
        <v>15</v>
      </c>
      <c r="AO46" s="150">
        <v>20</v>
      </c>
      <c r="AP46" s="150">
        <v>5</v>
      </c>
      <c r="AQ46" s="150">
        <v>0</v>
      </c>
      <c r="AR46" s="150">
        <v>14</v>
      </c>
      <c r="AS46" s="150">
        <v>10</v>
      </c>
      <c r="AT46" s="185">
        <v>3</v>
      </c>
      <c r="AU46" s="185">
        <f>SUM(AM46:AT46)</f>
        <v>75</v>
      </c>
      <c r="AV46" s="154">
        <v>75</v>
      </c>
      <c r="AW46" s="150">
        <v>42</v>
      </c>
      <c r="AX46" s="186">
        <v>52</v>
      </c>
      <c r="AY46" s="150">
        <v>60</v>
      </c>
      <c r="AZ46" s="23"/>
      <c r="BA46" s="186">
        <f>AH46</f>
        <v>70</v>
      </c>
      <c r="BB46" s="11"/>
      <c r="BC46" s="23"/>
      <c r="BD46" s="186">
        <f>S46</f>
        <v>54</v>
      </c>
      <c r="BE46" s="11"/>
      <c r="BF46" s="23"/>
      <c r="BG46" s="11"/>
      <c r="BH46" s="11"/>
      <c r="BI46" s="23"/>
      <c r="BJ46" s="187">
        <v>42</v>
      </c>
      <c r="BK46" s="186">
        <f>AU46-1</f>
        <v>74</v>
      </c>
      <c r="BL46" s="11"/>
      <c r="BM46" s="23"/>
      <c r="BN46" s="186">
        <f>AH46-1</f>
        <v>69</v>
      </c>
      <c r="BO46" s="11"/>
      <c r="BP46" s="23"/>
      <c r="BQ46" s="186">
        <f>S46-1</f>
        <v>53</v>
      </c>
      <c r="BR46" s="11"/>
      <c r="BS46" s="23"/>
      <c r="BT46" s="11"/>
      <c r="BU46" s="11"/>
      <c r="BV46" s="23"/>
      <c r="BW46" s="187">
        <v>42</v>
      </c>
      <c r="BX46" s="186">
        <f>AU46+2</f>
        <v>77</v>
      </c>
      <c r="BY46" s="11"/>
      <c r="BZ46" s="23"/>
      <c r="CA46" s="186">
        <f>AH46+2</f>
        <v>72</v>
      </c>
      <c r="CB46" s="11"/>
      <c r="CC46" s="23"/>
      <c r="CD46" s="186">
        <f>S46+2</f>
        <v>56</v>
      </c>
      <c r="CE46" s="11"/>
      <c r="CF46" s="23"/>
      <c r="CG46" s="11"/>
      <c r="CH46" s="11"/>
      <c r="CI46" s="23"/>
      <c r="CJ46" s="187">
        <v>42</v>
      </c>
      <c r="CK46" s="186">
        <f>AU46+1</f>
        <v>76</v>
      </c>
      <c r="CL46" s="11"/>
      <c r="CM46" s="23"/>
      <c r="CN46" s="186">
        <f>AH46+1</f>
        <v>71</v>
      </c>
      <c r="CO46" s="11"/>
      <c r="CP46" s="23"/>
      <c r="CQ46" s="186">
        <f>S46+1</f>
        <v>55</v>
      </c>
      <c r="CR46" s="11"/>
      <c r="CS46" s="23"/>
      <c r="CT46" s="11"/>
      <c r="CU46" s="11"/>
      <c r="CV46" s="23"/>
      <c r="CW46" s="11"/>
      <c r="CX46" s="11"/>
      <c r="CY46" s="11"/>
      <c r="CZ46" s="11"/>
      <c r="DA46" s="11"/>
      <c r="DB46" s="23"/>
      <c r="DC46" s="11"/>
      <c r="DD46" s="23"/>
      <c r="DE46" s="11"/>
      <c r="DF46" s="11"/>
      <c r="DG46" s="11"/>
      <c r="DH46" s="11"/>
      <c r="DI46" s="23"/>
      <c r="DJ46" s="11"/>
      <c r="DK46" s="11"/>
      <c r="DL46" s="11"/>
      <c r="DM46" s="153"/>
    </row>
    <row r="47" ht="15" customHeight="1">
      <c r="A47" s="188"/>
      <c r="B47" s="13"/>
      <c r="C47" s="13"/>
      <c r="D47" t="s" s="189">
        <v>365</v>
      </c>
      <c r="E47" t="s" s="172">
        <v>43</v>
      </c>
      <c r="F47" t="s" s="83">
        <v>43</v>
      </c>
      <c r="G47" s="75"/>
      <c r="H47" s="79">
        <v>10</v>
      </c>
      <c r="I47" s="75"/>
      <c r="J47" s="75"/>
      <c r="K47" s="79">
        <v>0</v>
      </c>
      <c r="L47" s="79">
        <v>0</v>
      </c>
      <c r="M47" s="79">
        <v>10</v>
      </c>
      <c r="N47" s="79">
        <v>10</v>
      </c>
      <c r="O47" s="79">
        <v>8</v>
      </c>
      <c r="P47" s="79">
        <v>8</v>
      </c>
      <c r="Q47" s="163">
        <v>5</v>
      </c>
      <c r="R47" s="190">
        <v>5</v>
      </c>
      <c r="S47" s="154">
        <f>R47+Q47+P47+O47+N47+M47+L47+K47+J47+I47+H47</f>
        <v>56</v>
      </c>
      <c r="T47" s="23"/>
      <c r="U47" s="23"/>
      <c r="V47" s="23"/>
      <c r="W47" s="23"/>
      <c r="X47" t="s" s="191">
        <v>43</v>
      </c>
      <c r="Y47" t="s" s="192">
        <v>43</v>
      </c>
      <c r="Z47" s="23"/>
      <c r="AA47" s="154">
        <v>10</v>
      </c>
      <c r="AB47" s="154">
        <v>8</v>
      </c>
      <c r="AC47" s="154">
        <v>8</v>
      </c>
      <c r="AD47" s="154">
        <v>0</v>
      </c>
      <c r="AE47" s="154">
        <v>0</v>
      </c>
      <c r="AF47" s="154">
        <v>5</v>
      </c>
      <c r="AG47" s="154">
        <v>30</v>
      </c>
      <c r="AH47" s="155">
        <f>SUM(AA47:AF47)+AG47</f>
        <v>61</v>
      </c>
      <c r="AI47" s="23"/>
      <c r="AJ47" s="23"/>
      <c r="AK47" s="23"/>
      <c r="AL47" s="23"/>
      <c r="AM47" s="154">
        <v>10</v>
      </c>
      <c r="AN47" s="154">
        <v>10</v>
      </c>
      <c r="AO47" s="154">
        <v>20</v>
      </c>
      <c r="AP47" s="154">
        <v>0</v>
      </c>
      <c r="AQ47" s="154">
        <v>10</v>
      </c>
      <c r="AR47" s="154">
        <v>14</v>
      </c>
      <c r="AS47" s="154">
        <v>10</v>
      </c>
      <c r="AT47" s="193">
        <v>3</v>
      </c>
      <c r="AU47" s="193">
        <f>SUM(AM47:AT47)</f>
        <v>77</v>
      </c>
      <c r="AV47" s="154">
        <v>77</v>
      </c>
      <c r="AW47" s="154">
        <v>43</v>
      </c>
      <c r="AX47" s="194">
        <f>AU47+0</f>
        <v>77</v>
      </c>
      <c r="AY47" s="23"/>
      <c r="AZ47" s="23"/>
      <c r="BA47" s="194">
        <f>AH47</f>
        <v>61</v>
      </c>
      <c r="BB47" s="154">
        <v>61</v>
      </c>
      <c r="BC47" s="23"/>
      <c r="BD47" s="194">
        <f>S47</f>
        <v>56</v>
      </c>
      <c r="BE47" s="23"/>
      <c r="BF47" s="23"/>
      <c r="BG47" s="23"/>
      <c r="BH47" s="23"/>
      <c r="BI47" s="23"/>
      <c r="BJ47" s="195">
        <v>43</v>
      </c>
      <c r="BK47" s="194">
        <f>AU47-1</f>
        <v>76</v>
      </c>
      <c r="BL47" s="23"/>
      <c r="BM47" s="23"/>
      <c r="BN47" s="194">
        <f>AH47-1</f>
        <v>60</v>
      </c>
      <c r="BO47" s="154">
        <v>61</v>
      </c>
      <c r="BP47" s="23"/>
      <c r="BQ47" s="194">
        <f>S47-1</f>
        <v>55</v>
      </c>
      <c r="BR47" s="23"/>
      <c r="BS47" s="23"/>
      <c r="BT47" s="23"/>
      <c r="BU47" s="23"/>
      <c r="BV47" s="23"/>
      <c r="BW47" s="195">
        <v>43</v>
      </c>
      <c r="BX47" s="194">
        <f>AU47+2</f>
        <v>79</v>
      </c>
      <c r="BY47" s="23"/>
      <c r="BZ47" s="23"/>
      <c r="CA47" s="194">
        <f>AH47+2</f>
        <v>63</v>
      </c>
      <c r="CB47" s="154">
        <v>61</v>
      </c>
      <c r="CC47" s="23"/>
      <c r="CD47" s="194">
        <f>S47+2</f>
        <v>58</v>
      </c>
      <c r="CE47" s="23"/>
      <c r="CF47" s="23"/>
      <c r="CG47" s="23"/>
      <c r="CH47" s="23"/>
      <c r="CI47" s="23"/>
      <c r="CJ47" s="195">
        <v>43</v>
      </c>
      <c r="CK47" s="194">
        <f>AU47+1</f>
        <v>78</v>
      </c>
      <c r="CL47" s="23"/>
      <c r="CM47" s="23"/>
      <c r="CN47" s="194">
        <f>AH47+1</f>
        <v>62</v>
      </c>
      <c r="CO47" s="154">
        <v>61</v>
      </c>
      <c r="CP47" s="23"/>
      <c r="CQ47" s="194">
        <f>S47+1</f>
        <v>57</v>
      </c>
      <c r="CR47" s="23"/>
      <c r="CS47" s="23"/>
      <c r="CT47" s="23"/>
      <c r="CU47" s="23"/>
      <c r="CV47" s="23"/>
      <c r="CW47" s="23"/>
      <c r="CX47" s="23"/>
      <c r="CY47" s="23"/>
      <c r="CZ47" s="23"/>
      <c r="DA47" s="23"/>
      <c r="DB47" s="23"/>
      <c r="DC47" s="23"/>
      <c r="DD47" s="23"/>
      <c r="DE47" s="23"/>
      <c r="DF47" s="23"/>
      <c r="DG47" s="23"/>
      <c r="DH47" s="23"/>
      <c r="DI47" s="23"/>
      <c r="DJ47" s="23"/>
      <c r="DK47" s="23"/>
      <c r="DL47" s="23"/>
      <c r="DM47" s="156"/>
    </row>
    <row r="48" ht="15" customHeight="1">
      <c r="A48" s="146"/>
      <c r="B48" s="23"/>
      <c r="C48" s="23"/>
      <c r="D48" s="23"/>
      <c r="E48" s="11"/>
      <c r="F48" s="11"/>
      <c r="G48" s="11"/>
      <c r="H48" s="11"/>
      <c r="I48" s="11"/>
      <c r="J48" s="11"/>
      <c r="K48" s="11"/>
      <c r="L48" s="11"/>
      <c r="M48" s="11"/>
      <c r="N48" s="11"/>
      <c r="O48" s="11"/>
      <c r="P48" s="11"/>
      <c r="Q48" s="11"/>
      <c r="R48" s="23"/>
      <c r="S48" s="23"/>
      <c r="T48" s="23"/>
      <c r="U48" s="23"/>
      <c r="V48" s="23"/>
      <c r="W48" s="23"/>
      <c r="X48" s="23"/>
      <c r="Y48" s="23"/>
      <c r="Z48" s="23"/>
      <c r="AA48" s="23"/>
      <c r="AB48" s="23"/>
      <c r="AC48" s="23"/>
      <c r="AD48" s="23"/>
      <c r="AE48" s="23"/>
      <c r="AF48" s="23"/>
      <c r="AG48" s="23"/>
      <c r="AH48" s="23"/>
      <c r="AI48" s="23"/>
      <c r="AJ48" s="23"/>
      <c r="AK48" s="23"/>
      <c r="AL48" s="24"/>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23"/>
      <c r="DL48" s="23"/>
      <c r="DM48" s="156"/>
    </row>
    <row r="49" ht="15" customHeight="1">
      <c r="A49" s="146"/>
      <c r="B49" s="154">
        <v>1</v>
      </c>
      <c r="C49" t="s" s="191">
        <v>366</v>
      </c>
      <c r="D49" t="s" s="191">
        <v>367</v>
      </c>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135"/>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23"/>
      <c r="DL49" s="23"/>
      <c r="DM49" s="156"/>
    </row>
    <row r="50" ht="15" customHeight="1">
      <c r="A50" s="146"/>
      <c r="B50" s="154">
        <v>2</v>
      </c>
      <c r="C50" t="s" s="191">
        <v>368</v>
      </c>
      <c r="D50" t="s" s="191">
        <v>369</v>
      </c>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135"/>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23"/>
      <c r="DL50" s="23"/>
      <c r="DM50" s="156"/>
    </row>
    <row r="51" ht="15" customHeight="1">
      <c r="A51" s="146"/>
      <c r="B51" s="154">
        <v>3</v>
      </c>
      <c r="C51" t="s" s="191">
        <v>370</v>
      </c>
      <c r="D51" t="s" s="191">
        <v>371</v>
      </c>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135"/>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c r="DK51" s="23"/>
      <c r="DL51" s="23"/>
      <c r="DM51" s="156"/>
    </row>
    <row r="52" ht="15" customHeight="1">
      <c r="A52" s="146"/>
      <c r="B52" s="154">
        <v>4</v>
      </c>
      <c r="C52" t="s" s="191">
        <v>372</v>
      </c>
      <c r="D52" t="s" s="191">
        <v>367</v>
      </c>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135"/>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c r="DK52" s="23"/>
      <c r="DL52" s="23"/>
      <c r="DM52" s="156"/>
    </row>
    <row r="53" ht="15" customHeight="1">
      <c r="A53" s="146"/>
      <c r="B53" s="154">
        <v>5</v>
      </c>
      <c r="C53" t="s" s="191">
        <v>373</v>
      </c>
      <c r="D53" t="s" s="191">
        <v>374</v>
      </c>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135"/>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c r="DK53" s="23"/>
      <c r="DL53" s="23"/>
      <c r="DM53" s="156"/>
    </row>
    <row r="54" ht="15" customHeight="1">
      <c r="A54" s="146"/>
      <c r="B54" s="154">
        <v>6</v>
      </c>
      <c r="C54" t="s" s="191">
        <v>375</v>
      </c>
      <c r="D54" t="s" s="191">
        <v>376</v>
      </c>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135"/>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c r="DK54" s="23"/>
      <c r="DL54" s="23"/>
      <c r="DM54" s="156"/>
    </row>
    <row r="55" ht="15" customHeight="1">
      <c r="A55" s="146"/>
      <c r="B55" s="154">
        <v>7</v>
      </c>
      <c r="C55" t="s" s="191">
        <v>377</v>
      </c>
      <c r="D55" t="s" s="191">
        <v>378</v>
      </c>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135"/>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c r="DK55" s="23"/>
      <c r="DL55" s="23"/>
      <c r="DM55" s="156"/>
    </row>
    <row r="56" ht="15" customHeight="1">
      <c r="A56" s="146"/>
      <c r="B56" s="154">
        <v>8</v>
      </c>
      <c r="C56" t="s" s="191">
        <v>379</v>
      </c>
      <c r="D56" t="s" s="191">
        <v>380</v>
      </c>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135"/>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c r="DK56" s="23"/>
      <c r="DL56" s="23"/>
      <c r="DM56" s="156"/>
    </row>
    <row r="57" ht="15" customHeight="1">
      <c r="A57" s="146"/>
      <c r="B57" s="154">
        <v>9</v>
      </c>
      <c r="C57" t="s" s="191">
        <v>381</v>
      </c>
      <c r="D57" t="s" s="191">
        <v>382</v>
      </c>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135"/>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c r="DK57" s="23"/>
      <c r="DL57" s="23"/>
      <c r="DM57" s="156"/>
    </row>
    <row r="58" ht="15" customHeight="1">
      <c r="A58" s="146"/>
      <c r="B58" s="154">
        <v>10</v>
      </c>
      <c r="C58" t="s" s="191">
        <v>383</v>
      </c>
      <c r="D58" t="s" s="191">
        <v>384</v>
      </c>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135"/>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c r="DK58" s="23"/>
      <c r="DL58" s="23"/>
      <c r="DM58" s="156"/>
    </row>
    <row r="59" ht="15" customHeight="1">
      <c r="A59" s="146"/>
      <c r="B59" s="154">
        <v>11</v>
      </c>
      <c r="C59" t="s" s="191">
        <v>385</v>
      </c>
      <c r="D59" t="s" s="191">
        <v>386</v>
      </c>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135"/>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c r="DK59" s="23"/>
      <c r="DL59" s="23"/>
      <c r="DM59" s="156"/>
    </row>
    <row r="60" ht="15" customHeight="1">
      <c r="A60" s="146"/>
      <c r="B60" s="154">
        <v>12</v>
      </c>
      <c r="C60" t="s" s="191">
        <v>387</v>
      </c>
      <c r="D60" t="s" s="191">
        <v>388</v>
      </c>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135"/>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c r="DK60" s="23"/>
      <c r="DL60" s="23"/>
      <c r="DM60" s="156"/>
    </row>
    <row r="61" ht="15" customHeight="1">
      <c r="A61" s="146"/>
      <c r="B61" s="154">
        <v>13</v>
      </c>
      <c r="C61" t="s" s="191">
        <v>389</v>
      </c>
      <c r="D61" t="s" s="191">
        <v>390</v>
      </c>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135"/>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156"/>
    </row>
    <row r="62" ht="15" customHeight="1">
      <c r="A62" s="146"/>
      <c r="B62" s="154">
        <v>14</v>
      </c>
      <c r="C62" t="s" s="191">
        <v>391</v>
      </c>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135"/>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c r="DK62" s="23"/>
      <c r="DL62" s="23"/>
      <c r="DM62" s="156"/>
    </row>
    <row r="63" ht="15" customHeight="1">
      <c r="A63" s="146"/>
      <c r="B63" s="154">
        <v>15</v>
      </c>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135"/>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c r="DK63" s="23"/>
      <c r="DL63" s="23"/>
      <c r="DM63" s="156"/>
    </row>
    <row r="64" ht="15" customHeight="1">
      <c r="A64" s="85"/>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135"/>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159"/>
    </row>
  </sheetData>
  <mergeCells count="22">
    <mergeCell ref="DL3:DL4"/>
    <mergeCell ref="DM3:DM4"/>
    <mergeCell ref="DJ2:DM2"/>
    <mergeCell ref="AX3:BH3"/>
    <mergeCell ref="BK3:BU3"/>
    <mergeCell ref="BX3:CH3"/>
    <mergeCell ref="CK3:CU3"/>
    <mergeCell ref="CX3:CX4"/>
    <mergeCell ref="CY3:CY4"/>
    <mergeCell ref="CZ3:CZ4"/>
    <mergeCell ref="DA3:DA4"/>
    <mergeCell ref="DC3:DC4"/>
    <mergeCell ref="DE3:DE4"/>
    <mergeCell ref="DF3:DF4"/>
    <mergeCell ref="DG3:DG4"/>
    <mergeCell ref="DH3:DH4"/>
    <mergeCell ref="DJ3:DJ4"/>
    <mergeCell ref="DK3:DK4"/>
    <mergeCell ref="V1:AK1"/>
    <mergeCell ref="AM2:AU2"/>
    <mergeCell ref="CX2:DA2"/>
    <mergeCell ref="DE2:DH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sheetPr>
    <pageSetUpPr fitToPage="1"/>
  </sheetPr>
  <dimension ref="A1:DK51"/>
  <sheetViews>
    <sheetView workbookViewId="0" showGridLines="0" defaultGridColor="1"/>
  </sheetViews>
  <sheetFormatPr defaultColWidth="10.8333" defaultRowHeight="15" customHeight="1" outlineLevelRow="0" outlineLevelCol="0"/>
  <cols>
    <col min="1" max="1" width="9" style="196" customWidth="1"/>
    <col min="2" max="2" width="4" style="196" customWidth="1"/>
    <col min="3" max="3" width="25.6719" style="196" customWidth="1"/>
    <col min="4" max="4" width="18.8516" style="196" customWidth="1"/>
    <col min="5" max="6" width="3" style="196" customWidth="1"/>
    <col min="7" max="24" width="6.8125" style="196" customWidth="1"/>
    <col min="25" max="26" width="4.17188" style="196" customWidth="1"/>
    <col min="27" max="27" width="4.67188" style="196" customWidth="1"/>
    <col min="28" max="28" width="3.78906" style="196" customWidth="1"/>
    <col min="29" max="32" width="5.0625" style="196" customWidth="1"/>
    <col min="33" max="33" width="4.80469" style="196" customWidth="1"/>
    <col min="34" max="34" width="5.42969" style="196" customWidth="1"/>
    <col min="35" max="35" width="3" style="196" customWidth="1"/>
    <col min="36" max="36" width="2.67188" style="196" customWidth="1"/>
    <col min="37" max="46" width="5.17188" style="196" customWidth="1"/>
    <col min="47" max="47" width="3.5" style="196" customWidth="1"/>
    <col min="48" max="48" width="5.67188" style="196" customWidth="1"/>
    <col min="49" max="49" width="5.5" style="196" customWidth="1"/>
    <col min="50" max="50" width="1.5" style="196" customWidth="1"/>
    <col min="51" max="52" width="5.35156" style="196" customWidth="1"/>
    <col min="53" max="53" width="1.5" style="196" customWidth="1"/>
    <col min="54" max="55" width="5.17188" style="196" customWidth="1"/>
    <col min="56" max="56" width="1.5" style="196" customWidth="1"/>
    <col min="57" max="59" width="4.5" style="196" customWidth="1"/>
    <col min="60" max="60" width="5" style="196" customWidth="1"/>
    <col min="61" max="61" width="5.67188" style="196" customWidth="1"/>
    <col min="62" max="62" width="5.5" style="196" customWidth="1"/>
    <col min="63" max="63" width="1.5" style="196" customWidth="1"/>
    <col min="64" max="65" width="5.35156" style="196" customWidth="1"/>
    <col min="66" max="66" width="1.5" style="196" customWidth="1"/>
    <col min="67" max="68" width="5.17188" style="196" customWidth="1"/>
    <col min="69" max="69" width="1.5" style="196" customWidth="1"/>
    <col min="70" max="73" width="4.5" style="196" customWidth="1"/>
    <col min="74" max="74" width="5.67188" style="196" customWidth="1"/>
    <col min="75" max="75" width="5.5" style="196" customWidth="1"/>
    <col min="76" max="76" width="1.5" style="196" customWidth="1"/>
    <col min="77" max="78" width="5.35156" style="196" customWidth="1"/>
    <col min="79" max="79" width="1.5" style="196" customWidth="1"/>
    <col min="80" max="81" width="5.17188" style="196" customWidth="1"/>
    <col min="82" max="82" width="1.5" style="196" customWidth="1"/>
    <col min="83" max="85" width="4.5" style="196" customWidth="1"/>
    <col min="86" max="86" width="4" style="196" customWidth="1"/>
    <col min="87" max="87" width="5.67188" style="196" customWidth="1"/>
    <col min="88" max="88" width="5.5" style="196" customWidth="1"/>
    <col min="89" max="89" width="1.5" style="196" customWidth="1"/>
    <col min="90" max="91" width="5.35156" style="196" customWidth="1"/>
    <col min="92" max="92" width="1.5" style="196" customWidth="1"/>
    <col min="93" max="94" width="5.17188" style="196" customWidth="1"/>
    <col min="95" max="95" width="1.5" style="196" customWidth="1"/>
    <col min="96" max="98" width="4.5" style="196" customWidth="1"/>
    <col min="99" max="99" width="4" style="196" customWidth="1"/>
    <col min="100" max="103" width="6.5" style="196" customWidth="1"/>
    <col min="104" max="104" width="5.17188" style="196" customWidth="1"/>
    <col min="105" max="105" width="5.67188" style="196" customWidth="1"/>
    <col min="106" max="106" width="2.5" style="196" customWidth="1"/>
    <col min="107" max="110" width="5.17188" style="196" customWidth="1"/>
    <col min="111" max="111" width="2.85156" style="196" customWidth="1"/>
    <col min="112" max="115" width="4.67188" style="196" customWidth="1"/>
    <col min="116" max="16384" width="10.8516" style="196" customWidth="1"/>
  </cols>
  <sheetData>
    <row r="1" ht="20.25" customHeight="1">
      <c r="A1" s="7"/>
      <c r="B1" s="8">
        <v>38</v>
      </c>
      <c r="C1" s="197"/>
      <c r="D1" s="198"/>
      <c r="E1" t="s" s="9">
        <v>6</v>
      </c>
      <c r="F1" s="10"/>
      <c r="G1" s="12"/>
      <c r="H1" s="12"/>
      <c r="I1" s="12"/>
      <c r="J1" s="12"/>
      <c r="K1" s="12"/>
      <c r="L1" s="12"/>
      <c r="M1" s="12"/>
      <c r="N1" s="12"/>
      <c r="O1" s="12"/>
      <c r="P1" s="12"/>
      <c r="Q1" s="12"/>
      <c r="R1" s="12"/>
      <c r="S1" s="12"/>
      <c r="T1" s="12"/>
      <c r="U1" s="12"/>
      <c r="V1" s="12"/>
      <c r="W1" s="12"/>
      <c r="X1" s="10"/>
      <c r="Y1" s="10"/>
      <c r="Z1" s="10"/>
      <c r="AA1" s="10"/>
      <c r="AB1" s="10"/>
      <c r="AC1" s="10"/>
      <c r="AD1" s="10"/>
      <c r="AE1" s="10"/>
      <c r="AF1" s="10"/>
      <c r="AG1" s="10"/>
      <c r="AH1" s="10"/>
      <c r="AI1" s="10"/>
      <c r="AJ1" s="11"/>
      <c r="AK1" s="12"/>
      <c r="AL1" s="12"/>
      <c r="AM1" s="12"/>
      <c r="AN1" s="12"/>
      <c r="AO1" s="12"/>
      <c r="AP1" s="12"/>
      <c r="AQ1" s="12"/>
      <c r="AR1" s="12"/>
      <c r="AS1" s="12"/>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2"/>
      <c r="CW1" s="12"/>
      <c r="CX1" s="12"/>
      <c r="CY1" s="12"/>
      <c r="CZ1" s="13"/>
      <c r="DA1" s="13"/>
      <c r="DB1" s="13"/>
      <c r="DC1" s="12"/>
      <c r="DD1" s="12"/>
      <c r="DE1" s="12"/>
      <c r="DF1" s="12"/>
      <c r="DG1" s="13"/>
      <c r="DH1" s="12"/>
      <c r="DI1" s="12"/>
      <c r="DJ1" s="12"/>
      <c r="DK1" s="14"/>
    </row>
    <row r="2" ht="35.25" customHeight="1">
      <c r="A2" s="7"/>
      <c r="B2" s="68"/>
      <c r="C2" t="s" s="199">
        <v>393</v>
      </c>
      <c r="D2" s="200"/>
      <c r="E2" s="79">
        <v>1</v>
      </c>
      <c r="F2" s="79">
        <v>2</v>
      </c>
      <c r="G2" s="75"/>
      <c r="H2" s="75"/>
      <c r="I2" s="75"/>
      <c r="J2" s="75"/>
      <c r="K2" s="75"/>
      <c r="L2" s="75"/>
      <c r="M2" s="75"/>
      <c r="N2" s="75"/>
      <c r="O2" s="75"/>
      <c r="P2" s="75"/>
      <c r="Q2" s="75"/>
      <c r="R2" s="75"/>
      <c r="S2" s="75"/>
      <c r="T2" s="75"/>
      <c r="U2" s="75"/>
      <c r="V2" s="75"/>
      <c r="W2" s="75"/>
      <c r="X2" s="79">
        <v>3</v>
      </c>
      <c r="Y2" s="79">
        <v>4</v>
      </c>
      <c r="Z2" s="79">
        <v>5</v>
      </c>
      <c r="AA2" s="79">
        <v>6</v>
      </c>
      <c r="AB2" s="79">
        <v>7</v>
      </c>
      <c r="AC2" s="79">
        <v>8</v>
      </c>
      <c r="AD2" s="79">
        <v>9</v>
      </c>
      <c r="AE2" s="79">
        <v>10</v>
      </c>
      <c r="AF2" s="79">
        <v>11</v>
      </c>
      <c r="AG2" s="79">
        <v>12</v>
      </c>
      <c r="AH2" s="79">
        <v>13</v>
      </c>
      <c r="AI2" s="79">
        <v>14</v>
      </c>
      <c r="AJ2" s="18"/>
      <c r="AK2" t="s" s="19">
        <v>7</v>
      </c>
      <c r="AL2" s="20"/>
      <c r="AM2" s="20"/>
      <c r="AN2" s="20"/>
      <c r="AO2" s="20"/>
      <c r="AP2" s="20"/>
      <c r="AQ2" s="20"/>
      <c r="AR2" s="20"/>
      <c r="AS2" s="21"/>
      <c r="AT2" s="22"/>
      <c r="AU2" s="23"/>
      <c r="AV2" s="24"/>
      <c r="AW2" s="24"/>
      <c r="AX2" s="24"/>
      <c r="AY2" s="24"/>
      <c r="AZ2" s="24"/>
      <c r="BA2" s="24"/>
      <c r="BB2" s="24"/>
      <c r="BC2" s="24"/>
      <c r="BD2" s="24"/>
      <c r="BE2" s="24"/>
      <c r="BF2" s="24"/>
      <c r="BG2" s="23"/>
      <c r="BH2" s="23"/>
      <c r="BI2" s="24"/>
      <c r="BJ2" s="24"/>
      <c r="BK2" s="24"/>
      <c r="BL2" s="24"/>
      <c r="BM2" s="24"/>
      <c r="BN2" s="24"/>
      <c r="BO2" s="24"/>
      <c r="BP2" s="24"/>
      <c r="BQ2" s="24"/>
      <c r="BR2" s="24"/>
      <c r="BS2" s="24"/>
      <c r="BT2" s="23"/>
      <c r="BU2" s="23"/>
      <c r="BV2" s="24"/>
      <c r="BW2" s="24"/>
      <c r="BX2" s="24"/>
      <c r="BY2" s="24"/>
      <c r="BZ2" s="24"/>
      <c r="CA2" s="24"/>
      <c r="CB2" s="24"/>
      <c r="CC2" s="24"/>
      <c r="CD2" s="24"/>
      <c r="CE2" s="24"/>
      <c r="CF2" s="24"/>
      <c r="CG2" s="23"/>
      <c r="CH2" s="23"/>
      <c r="CI2" s="24"/>
      <c r="CJ2" s="24"/>
      <c r="CK2" s="24"/>
      <c r="CL2" s="24"/>
      <c r="CM2" s="24"/>
      <c r="CN2" s="24"/>
      <c r="CO2" s="24"/>
      <c r="CP2" s="24"/>
      <c r="CQ2" s="24"/>
      <c r="CR2" s="24"/>
      <c r="CS2" s="24"/>
      <c r="CT2" s="23"/>
      <c r="CU2" s="25"/>
      <c r="CV2" t="s" s="26">
        <v>8</v>
      </c>
      <c r="CW2" s="27"/>
      <c r="CX2" s="27"/>
      <c r="CY2" s="27"/>
      <c r="CZ2" s="28"/>
      <c r="DA2" s="24"/>
      <c r="DB2" s="25"/>
      <c r="DC2" t="s" s="29">
        <v>9</v>
      </c>
      <c r="DD2" s="30"/>
      <c r="DE2" s="30"/>
      <c r="DF2" s="30"/>
      <c r="DG2" s="18"/>
      <c r="DH2" t="s" s="29">
        <v>10</v>
      </c>
      <c r="DI2" s="30"/>
      <c r="DJ2" s="30"/>
      <c r="DK2" s="30"/>
    </row>
    <row r="3" ht="80.25" customHeight="1">
      <c r="A3" s="7"/>
      <c r="B3" s="15"/>
      <c r="C3" t="s" s="201">
        <v>394</v>
      </c>
      <c r="D3" s="202"/>
      <c r="E3" t="s" s="36">
        <v>395</v>
      </c>
      <c r="F3" s="100">
        <v>45988</v>
      </c>
      <c r="G3" s="35"/>
      <c r="H3" s="35"/>
      <c r="I3" s="35"/>
      <c r="J3" s="35"/>
      <c r="K3" s="35"/>
      <c r="L3" s="35"/>
      <c r="M3" s="35"/>
      <c r="N3" s="35"/>
      <c r="O3" s="35"/>
      <c r="P3" s="35"/>
      <c r="Q3" s="35"/>
      <c r="R3" s="35"/>
      <c r="S3" s="35"/>
      <c r="T3" s="35"/>
      <c r="U3" s="35"/>
      <c r="V3" s="35"/>
      <c r="W3" s="35"/>
      <c r="X3" t="s" s="36">
        <v>396</v>
      </c>
      <c r="Y3" t="s" s="36">
        <v>136</v>
      </c>
      <c r="Z3" t="s" s="36">
        <v>137</v>
      </c>
      <c r="AA3" t="s" s="36">
        <v>397</v>
      </c>
      <c r="AB3" t="s" s="36">
        <v>143</v>
      </c>
      <c r="AC3" t="s" s="36">
        <v>398</v>
      </c>
      <c r="AD3" t="s" s="36">
        <v>144</v>
      </c>
      <c r="AE3" t="s" s="36">
        <v>399</v>
      </c>
      <c r="AF3" t="s" s="36">
        <v>400</v>
      </c>
      <c r="AG3" s="35"/>
      <c r="AH3" s="35"/>
      <c r="AI3" s="35"/>
      <c r="AJ3" s="18"/>
      <c r="AK3" t="s" s="36">
        <v>142</v>
      </c>
      <c r="AL3" t="s" s="36">
        <v>140</v>
      </c>
      <c r="AM3" t="s" s="36">
        <v>144</v>
      </c>
      <c r="AN3" t="s" s="36">
        <v>145</v>
      </c>
      <c r="AO3" t="s" s="36">
        <v>146</v>
      </c>
      <c r="AP3" t="s" s="36">
        <v>147</v>
      </c>
      <c r="AQ3" t="s" s="36">
        <v>401</v>
      </c>
      <c r="AR3" s="35"/>
      <c r="AS3" t="s" s="36">
        <v>12</v>
      </c>
      <c r="AT3" t="s" s="203">
        <v>402</v>
      </c>
      <c r="AU3" s="25"/>
      <c r="AV3" t="s" s="38">
        <v>13</v>
      </c>
      <c r="AW3" s="39"/>
      <c r="AX3" s="39"/>
      <c r="AY3" s="39"/>
      <c r="AZ3" s="39"/>
      <c r="BA3" s="39"/>
      <c r="BB3" s="39"/>
      <c r="BC3" s="39"/>
      <c r="BD3" s="39"/>
      <c r="BE3" s="39"/>
      <c r="BF3" s="40"/>
      <c r="BG3" s="28"/>
      <c r="BH3" s="25"/>
      <c r="BI3" t="s" s="41">
        <v>14</v>
      </c>
      <c r="BJ3" s="42"/>
      <c r="BK3" s="42"/>
      <c r="BL3" s="42"/>
      <c r="BM3" s="42"/>
      <c r="BN3" s="42"/>
      <c r="BO3" s="42"/>
      <c r="BP3" s="42"/>
      <c r="BQ3" s="42"/>
      <c r="BR3" s="42"/>
      <c r="BS3" s="43"/>
      <c r="BT3" s="44"/>
      <c r="BU3" s="25"/>
      <c r="BV3" t="s" s="45">
        <v>15</v>
      </c>
      <c r="BW3" s="46"/>
      <c r="BX3" s="46"/>
      <c r="BY3" s="46"/>
      <c r="BZ3" s="46"/>
      <c r="CA3" s="46"/>
      <c r="CB3" s="46"/>
      <c r="CC3" s="46"/>
      <c r="CD3" s="46"/>
      <c r="CE3" s="46"/>
      <c r="CF3" s="47"/>
      <c r="CG3" s="44"/>
      <c r="CH3" s="25"/>
      <c r="CI3" t="s" s="48">
        <v>16</v>
      </c>
      <c r="CJ3" s="49"/>
      <c r="CK3" s="49"/>
      <c r="CL3" s="49"/>
      <c r="CM3" s="49"/>
      <c r="CN3" s="49"/>
      <c r="CO3" s="49"/>
      <c r="CP3" s="49"/>
      <c r="CQ3" s="49"/>
      <c r="CR3" s="49"/>
      <c r="CS3" s="50"/>
      <c r="CT3" s="44"/>
      <c r="CU3" s="25"/>
      <c r="CV3" t="s" s="51">
        <v>17</v>
      </c>
      <c r="CW3" t="s" s="51">
        <v>18</v>
      </c>
      <c r="CX3" t="s" s="51">
        <v>19</v>
      </c>
      <c r="CY3" t="s" s="51">
        <v>20</v>
      </c>
      <c r="CZ3" s="18"/>
      <c r="DA3" t="s" s="52">
        <v>21</v>
      </c>
      <c r="DB3" s="18"/>
      <c r="DC3" t="s" s="53">
        <v>22</v>
      </c>
      <c r="DD3" t="s" s="53">
        <v>23</v>
      </c>
      <c r="DE3" t="s" s="53">
        <v>24</v>
      </c>
      <c r="DF3" t="s" s="53">
        <v>25</v>
      </c>
      <c r="DG3" s="18"/>
      <c r="DH3" t="s" s="53">
        <v>26</v>
      </c>
      <c r="DI3" t="s" s="53">
        <v>27</v>
      </c>
      <c r="DJ3" t="s" s="53">
        <v>28</v>
      </c>
      <c r="DK3" t="s" s="53">
        <v>29</v>
      </c>
    </row>
    <row r="4" ht="15" customHeight="1">
      <c r="A4" s="105"/>
      <c r="B4" t="s" s="102">
        <v>30</v>
      </c>
      <c r="C4" t="s" s="102">
        <v>31</v>
      </c>
      <c r="D4" t="s" s="54">
        <v>32</v>
      </c>
      <c r="E4" s="56"/>
      <c r="F4" s="57"/>
      <c r="G4" s="56"/>
      <c r="H4" s="56"/>
      <c r="I4" s="56"/>
      <c r="J4" s="204">
        <v>46072</v>
      </c>
      <c r="K4" s="205">
        <v>46086</v>
      </c>
      <c r="L4" t="s" s="206">
        <v>270</v>
      </c>
      <c r="M4" t="s" s="206">
        <v>137</v>
      </c>
      <c r="N4" t="s" s="206">
        <v>403</v>
      </c>
      <c r="O4" t="s" s="206">
        <v>262</v>
      </c>
      <c r="P4" t="s" s="206">
        <v>404</v>
      </c>
      <c r="Q4" t="s" s="206">
        <v>405</v>
      </c>
      <c r="R4" t="s" s="206">
        <v>265</v>
      </c>
      <c r="S4" s="56"/>
      <c r="T4" t="s" s="206">
        <v>143</v>
      </c>
      <c r="U4" t="s" s="56">
        <v>406</v>
      </c>
      <c r="V4" s="56"/>
      <c r="W4" s="56"/>
      <c r="X4" s="56"/>
      <c r="Y4" t="s" s="57">
        <v>136</v>
      </c>
      <c r="Z4" s="56"/>
      <c r="AA4" s="57"/>
      <c r="AB4" s="58"/>
      <c r="AC4" s="77">
        <v>15</v>
      </c>
      <c r="AD4" s="58"/>
      <c r="AE4" s="58"/>
      <c r="AF4" s="58"/>
      <c r="AG4" s="58"/>
      <c r="AH4" s="58"/>
      <c r="AI4" s="58"/>
      <c r="AJ4" s="207"/>
      <c r="AK4" s="58"/>
      <c r="AL4" s="58"/>
      <c r="AM4" s="58"/>
      <c r="AN4" s="58"/>
      <c r="AO4" s="58"/>
      <c r="AP4" s="58"/>
      <c r="AQ4" s="58"/>
      <c r="AR4" s="58"/>
      <c r="AS4" s="58"/>
      <c r="AT4" s="28"/>
      <c r="AU4" s="60"/>
      <c r="AV4" t="s" s="61">
        <v>33</v>
      </c>
      <c r="AW4" t="s" s="62">
        <v>34</v>
      </c>
      <c r="AX4" s="63"/>
      <c r="AY4" t="s" s="61">
        <v>35</v>
      </c>
      <c r="AZ4" t="s" s="62">
        <v>36</v>
      </c>
      <c r="BA4" s="63"/>
      <c r="BB4" t="s" s="61">
        <v>37</v>
      </c>
      <c r="BC4" t="s" s="62">
        <v>38</v>
      </c>
      <c r="BD4" s="63"/>
      <c r="BE4" t="s" s="61">
        <v>39</v>
      </c>
      <c r="BF4" t="s" s="62">
        <v>40</v>
      </c>
      <c r="BG4" s="28"/>
      <c r="BH4" s="60"/>
      <c r="BI4" t="s" s="61">
        <v>33</v>
      </c>
      <c r="BJ4" t="s" s="62">
        <v>34</v>
      </c>
      <c r="BK4" s="63"/>
      <c r="BL4" t="s" s="61">
        <v>35</v>
      </c>
      <c r="BM4" t="s" s="62">
        <v>36</v>
      </c>
      <c r="BN4" s="63"/>
      <c r="BO4" t="s" s="61">
        <v>37</v>
      </c>
      <c r="BP4" t="s" s="62">
        <v>38</v>
      </c>
      <c r="BQ4" s="63"/>
      <c r="BR4" t="s" s="61">
        <v>39</v>
      </c>
      <c r="BS4" t="s" s="62">
        <v>40</v>
      </c>
      <c r="BT4" s="28"/>
      <c r="BU4" s="60"/>
      <c r="BV4" t="s" s="61">
        <v>33</v>
      </c>
      <c r="BW4" t="s" s="62">
        <v>34</v>
      </c>
      <c r="BX4" s="63"/>
      <c r="BY4" t="s" s="61">
        <v>35</v>
      </c>
      <c r="BZ4" t="s" s="62">
        <v>36</v>
      </c>
      <c r="CA4" s="63"/>
      <c r="CB4" t="s" s="61">
        <v>37</v>
      </c>
      <c r="CC4" t="s" s="62">
        <v>38</v>
      </c>
      <c r="CD4" s="63"/>
      <c r="CE4" t="s" s="61">
        <v>39</v>
      </c>
      <c r="CF4" t="s" s="62">
        <v>40</v>
      </c>
      <c r="CG4" s="28"/>
      <c r="CH4" s="60"/>
      <c r="CI4" t="s" s="61">
        <v>33</v>
      </c>
      <c r="CJ4" t="s" s="62">
        <v>34</v>
      </c>
      <c r="CK4" s="63"/>
      <c r="CL4" t="s" s="61">
        <v>35</v>
      </c>
      <c r="CM4" t="s" s="62">
        <v>36</v>
      </c>
      <c r="CN4" s="63"/>
      <c r="CO4" t="s" s="61">
        <v>37</v>
      </c>
      <c r="CP4" t="s" s="62">
        <v>38</v>
      </c>
      <c r="CQ4" s="63"/>
      <c r="CR4" t="s" s="61">
        <v>39</v>
      </c>
      <c r="CS4" t="s" s="62">
        <v>40</v>
      </c>
      <c r="CT4" s="64"/>
      <c r="CU4" s="60"/>
      <c r="CV4" s="65"/>
      <c r="CW4" s="65"/>
      <c r="CX4" s="65"/>
      <c r="CY4" s="65"/>
      <c r="CZ4" s="18"/>
      <c r="DA4" s="66"/>
      <c r="DB4" s="18"/>
      <c r="DC4" s="67"/>
      <c r="DD4" s="67"/>
      <c r="DE4" s="67"/>
      <c r="DF4" s="67"/>
      <c r="DG4" s="18"/>
      <c r="DH4" s="67"/>
      <c r="DI4" s="67"/>
      <c r="DJ4" s="67"/>
      <c r="DK4" s="67"/>
    </row>
    <row r="5" ht="26.25" customHeight="1">
      <c r="A5" s="68"/>
      <c r="B5" s="69">
        <v>1</v>
      </c>
      <c r="C5" t="s" s="70">
        <v>165</v>
      </c>
      <c r="D5" t="s" s="71">
        <v>407</v>
      </c>
      <c r="E5" t="s" s="72">
        <v>161</v>
      </c>
      <c r="F5" s="208"/>
      <c r="G5" t="s" s="107">
        <v>43</v>
      </c>
      <c r="H5" t="s" s="83">
        <v>43</v>
      </c>
      <c r="I5" t="s" s="209">
        <v>43</v>
      </c>
      <c r="J5" t="s" s="210">
        <v>161</v>
      </c>
      <c r="K5" t="s" s="211">
        <v>43</v>
      </c>
      <c r="L5" s="79">
        <v>8</v>
      </c>
      <c r="M5" s="163">
        <v>10</v>
      </c>
      <c r="N5" s="164">
        <v>10</v>
      </c>
      <c r="O5" s="79">
        <v>8</v>
      </c>
      <c r="P5" s="79">
        <v>8</v>
      </c>
      <c r="Q5" s="79">
        <v>9</v>
      </c>
      <c r="R5" s="79">
        <v>8</v>
      </c>
      <c r="S5" s="212">
        <v>10</v>
      </c>
      <c r="T5" s="213">
        <v>19</v>
      </c>
      <c r="U5" s="214">
        <v>10</v>
      </c>
      <c r="V5" s="215">
        <f>L5+M5+N5+O5+P5+Q5+R5+S5+T5+U5</f>
        <v>100</v>
      </c>
      <c r="W5" s="216"/>
      <c r="X5" s="164">
        <v>10</v>
      </c>
      <c r="Y5" s="212">
        <v>10</v>
      </c>
      <c r="Z5" s="163">
        <v>10</v>
      </c>
      <c r="AA5" s="164">
        <v>10</v>
      </c>
      <c r="AB5" s="79">
        <v>20</v>
      </c>
      <c r="AC5" s="110">
        <v>15</v>
      </c>
      <c r="AD5" s="79">
        <v>5</v>
      </c>
      <c r="AE5" s="110">
        <v>5</v>
      </c>
      <c r="AF5" s="79">
        <v>5</v>
      </c>
      <c r="AG5" s="79">
        <v>12</v>
      </c>
      <c r="AH5" s="111">
        <f>Y5+Z5+AA5+AB5+AC5+AD5+AE5+AF5+AG5+X5</f>
        <v>102</v>
      </c>
      <c r="AI5" s="76"/>
      <c r="AJ5" s="78">
        <v>1</v>
      </c>
      <c r="AK5" s="110">
        <v>10</v>
      </c>
      <c r="AL5" s="79">
        <v>20</v>
      </c>
      <c r="AM5" s="110">
        <v>20</v>
      </c>
      <c r="AN5" s="79">
        <v>10</v>
      </c>
      <c r="AO5" s="79">
        <v>15</v>
      </c>
      <c r="AP5" s="110">
        <v>10</v>
      </c>
      <c r="AQ5" s="79">
        <v>5</v>
      </c>
      <c r="AR5" s="110">
        <v>10</v>
      </c>
      <c r="AS5" s="79">
        <f>SUM(AK5:AR5)</f>
        <v>100</v>
      </c>
      <c r="AT5" s="18"/>
      <c r="AU5" s="78">
        <v>1</v>
      </c>
      <c r="AV5" s="110">
        <f>AS5+0</f>
        <v>100</v>
      </c>
      <c r="AW5" s="75"/>
      <c r="AX5" s="18"/>
      <c r="AY5" s="110">
        <v>100</v>
      </c>
      <c r="AZ5" s="75"/>
      <c r="BA5" s="18"/>
      <c r="BB5" s="110">
        <f>V5</f>
        <v>100</v>
      </c>
      <c r="BC5" s="75"/>
      <c r="BD5" s="18"/>
      <c r="BE5" s="76"/>
      <c r="BF5" s="75"/>
      <c r="BG5" s="18"/>
      <c r="BH5" s="78">
        <v>1</v>
      </c>
      <c r="BI5" s="110">
        <v>100</v>
      </c>
      <c r="BJ5" s="75"/>
      <c r="BK5" s="18"/>
      <c r="BL5" s="110">
        <v>100</v>
      </c>
      <c r="BM5" s="75"/>
      <c r="BN5" s="18"/>
      <c r="BO5" s="110">
        <f>V5-1</f>
        <v>99</v>
      </c>
      <c r="BP5" s="75"/>
      <c r="BQ5" s="18"/>
      <c r="BR5" s="76"/>
      <c r="BS5" s="75"/>
      <c r="BT5" s="18"/>
      <c r="BU5" s="78">
        <v>1</v>
      </c>
      <c r="BV5" s="110">
        <v>100</v>
      </c>
      <c r="BW5" s="75"/>
      <c r="BX5" s="18"/>
      <c r="BY5" s="110">
        <v>100</v>
      </c>
      <c r="BZ5" s="75"/>
      <c r="CA5" s="18"/>
      <c r="CB5" s="110">
        <v>100</v>
      </c>
      <c r="CC5" s="75"/>
      <c r="CD5" s="18"/>
      <c r="CE5" s="76"/>
      <c r="CF5" s="75"/>
      <c r="CG5" s="18"/>
      <c r="CH5" s="78">
        <v>1</v>
      </c>
      <c r="CI5" s="110">
        <v>100</v>
      </c>
      <c r="CJ5" s="75"/>
      <c r="CK5" s="18"/>
      <c r="CL5" s="110">
        <v>100</v>
      </c>
      <c r="CM5" s="75"/>
      <c r="CN5" s="18"/>
      <c r="CO5" s="110">
        <v>100</v>
      </c>
      <c r="CP5" s="75"/>
      <c r="CQ5" s="18"/>
      <c r="CR5" s="76"/>
      <c r="CS5" s="75"/>
      <c r="CT5" s="18"/>
      <c r="CU5" s="78">
        <v>1</v>
      </c>
      <c r="CV5" s="79">
        <f>(AV5+AY5+BB5+BE5)/4</f>
        <v>75</v>
      </c>
      <c r="CW5" s="79">
        <f>(BI5+BL5+BO5+BR5)/4</f>
        <v>74.75</v>
      </c>
      <c r="CX5" s="79">
        <f>(BV5+BY5+CB5+CE5)/4</f>
        <v>75</v>
      </c>
      <c r="CY5" s="79">
        <f>(CI5+CL5+CO5+CR5)/4</f>
        <v>75</v>
      </c>
      <c r="CZ5" s="18"/>
      <c r="DA5" s="80">
        <f>SUM(CV5:CY5)/4</f>
        <v>74.9375</v>
      </c>
      <c r="DB5" s="18"/>
      <c r="DC5" s="79">
        <f>DA5*0.5</f>
        <v>37.46875</v>
      </c>
      <c r="DD5" s="75"/>
      <c r="DE5" s="79">
        <f>DD5*0.5</f>
        <v>0</v>
      </c>
      <c r="DF5" s="81">
        <f>DE5+DC5</f>
        <v>37.46875</v>
      </c>
      <c r="DG5" s="18"/>
      <c r="DH5" s="79">
        <f>DA5*0.3</f>
        <v>22.48125</v>
      </c>
      <c r="DI5" s="75"/>
      <c r="DJ5" s="79">
        <f>DI5*0.7</f>
        <v>0</v>
      </c>
      <c r="DK5" s="81">
        <f>DJ5+DH5</f>
        <v>22.48125</v>
      </c>
    </row>
    <row r="6" ht="26.25" customHeight="1">
      <c r="A6" s="68"/>
      <c r="B6" s="69">
        <v>2</v>
      </c>
      <c r="C6" t="s" s="70">
        <v>283</v>
      </c>
      <c r="D6" t="s" s="71">
        <v>408</v>
      </c>
      <c r="E6" t="s" s="72">
        <v>161</v>
      </c>
      <c r="F6" s="217"/>
      <c r="G6" t="s" s="113">
        <v>43</v>
      </c>
      <c r="H6" t="s" s="83">
        <v>43</v>
      </c>
      <c r="I6" t="s" s="218">
        <v>43</v>
      </c>
      <c r="J6" t="s" s="210">
        <v>43</v>
      </c>
      <c r="K6" t="s" s="211">
        <v>43</v>
      </c>
      <c r="L6" s="79">
        <v>10</v>
      </c>
      <c r="M6" s="163">
        <v>9</v>
      </c>
      <c r="N6" s="165">
        <v>10</v>
      </c>
      <c r="O6" s="79">
        <v>8</v>
      </c>
      <c r="P6" s="79">
        <v>8</v>
      </c>
      <c r="Q6" s="79">
        <v>9</v>
      </c>
      <c r="R6" s="79">
        <v>8</v>
      </c>
      <c r="S6" s="219">
        <v>10</v>
      </c>
      <c r="T6" s="220"/>
      <c r="U6" s="221">
        <v>7</v>
      </c>
      <c r="V6" s="222">
        <f>L6+M6+N6+O6+P6+Q6+R6+S6+T6+U6</f>
        <v>79</v>
      </c>
      <c r="W6" s="220"/>
      <c r="X6" s="165">
        <v>0</v>
      </c>
      <c r="Y6" s="223">
        <v>10</v>
      </c>
      <c r="Z6" s="163">
        <v>9</v>
      </c>
      <c r="AA6" s="165">
        <v>10</v>
      </c>
      <c r="AB6" s="79">
        <v>15</v>
      </c>
      <c r="AC6" s="110">
        <v>15</v>
      </c>
      <c r="AD6" s="79">
        <v>0</v>
      </c>
      <c r="AE6" s="110">
        <v>0</v>
      </c>
      <c r="AF6" s="79">
        <v>0</v>
      </c>
      <c r="AG6" s="79">
        <v>12</v>
      </c>
      <c r="AH6" s="111">
        <f>Y6+Z6+AA6+AB6+AC6+AD6+AE6+AF6+AG6+X6</f>
        <v>71</v>
      </c>
      <c r="AI6" s="76"/>
      <c r="AJ6" s="78">
        <v>2</v>
      </c>
      <c r="AK6" s="110">
        <v>10</v>
      </c>
      <c r="AL6" s="79">
        <v>15</v>
      </c>
      <c r="AM6" s="110">
        <v>20</v>
      </c>
      <c r="AN6" s="79">
        <v>7</v>
      </c>
      <c r="AO6" s="79">
        <v>0</v>
      </c>
      <c r="AP6" s="110">
        <v>10</v>
      </c>
      <c r="AQ6" s="79">
        <v>0</v>
      </c>
      <c r="AR6" s="110">
        <v>10</v>
      </c>
      <c r="AS6" s="79">
        <f>SUM(AK6:AR6)</f>
        <v>72</v>
      </c>
      <c r="AT6" s="18"/>
      <c r="AU6" s="78">
        <v>2</v>
      </c>
      <c r="AV6" s="110">
        <f>AS6+0</f>
        <v>72</v>
      </c>
      <c r="AW6" s="75"/>
      <c r="AX6" s="18"/>
      <c r="AY6" s="110">
        <f>AH6</f>
        <v>71</v>
      </c>
      <c r="AZ6" s="75"/>
      <c r="BA6" s="18"/>
      <c r="BB6" s="110">
        <f>V6</f>
        <v>79</v>
      </c>
      <c r="BC6" s="75"/>
      <c r="BD6" s="18"/>
      <c r="BE6" s="76"/>
      <c r="BF6" s="75"/>
      <c r="BG6" s="18"/>
      <c r="BH6" s="78">
        <v>2</v>
      </c>
      <c r="BI6" s="110">
        <f>AS6-1</f>
        <v>71</v>
      </c>
      <c r="BJ6" s="75"/>
      <c r="BK6" s="18"/>
      <c r="BL6" s="110">
        <f>AH6-1</f>
        <v>70</v>
      </c>
      <c r="BM6" s="75"/>
      <c r="BN6" s="18"/>
      <c r="BO6" s="110">
        <f>V6-1</f>
        <v>78</v>
      </c>
      <c r="BP6" s="75"/>
      <c r="BQ6" s="18"/>
      <c r="BR6" s="76"/>
      <c r="BS6" s="75"/>
      <c r="BT6" s="18"/>
      <c r="BU6" s="78">
        <v>2</v>
      </c>
      <c r="BV6" s="110">
        <f>AS6+2</f>
        <v>74</v>
      </c>
      <c r="BW6" s="75"/>
      <c r="BX6" s="18"/>
      <c r="BY6" s="110">
        <f>AH6+2</f>
        <v>73</v>
      </c>
      <c r="BZ6" s="75"/>
      <c r="CA6" s="18"/>
      <c r="CB6" s="110">
        <f>V6+2</f>
        <v>81</v>
      </c>
      <c r="CC6" s="75"/>
      <c r="CD6" s="18"/>
      <c r="CE6" s="76"/>
      <c r="CF6" s="75"/>
      <c r="CG6" s="18"/>
      <c r="CH6" s="78">
        <v>2</v>
      </c>
      <c r="CI6" s="110">
        <f>AS6+1</f>
        <v>73</v>
      </c>
      <c r="CJ6" s="75"/>
      <c r="CK6" s="18"/>
      <c r="CL6" s="110">
        <f>AH6+1</f>
        <v>72</v>
      </c>
      <c r="CM6" s="75"/>
      <c r="CN6" s="18"/>
      <c r="CO6" s="110">
        <f>V6+1</f>
        <v>80</v>
      </c>
      <c r="CP6" s="75"/>
      <c r="CQ6" s="18"/>
      <c r="CR6" s="76"/>
      <c r="CS6" s="75"/>
      <c r="CT6" s="18"/>
      <c r="CU6" s="78">
        <v>2</v>
      </c>
      <c r="CV6" s="79">
        <f>(AV6+AY6+BB6+BE6)/4</f>
        <v>55.5</v>
      </c>
      <c r="CW6" s="79">
        <f>(BI6+BL6+BO6+BR6)/4</f>
        <v>54.75</v>
      </c>
      <c r="CX6" s="79">
        <f>(BV6+BY6+CB6+CE6)/4</f>
        <v>57</v>
      </c>
      <c r="CY6" s="79">
        <f>(CI6+CL6+CO6+CR6)/4</f>
        <v>56.25</v>
      </c>
      <c r="CZ6" s="18"/>
      <c r="DA6" s="80">
        <f>SUM(CV6:CY6)/4</f>
        <v>55.875</v>
      </c>
      <c r="DB6" s="18"/>
      <c r="DC6" s="79">
        <f>DA6*0.5</f>
        <v>27.9375</v>
      </c>
      <c r="DD6" s="75"/>
      <c r="DE6" s="79">
        <f>DD6*0.5</f>
        <v>0</v>
      </c>
      <c r="DF6" s="81">
        <f>DE6+DC6</f>
        <v>27.9375</v>
      </c>
      <c r="DG6" s="18"/>
      <c r="DH6" s="79">
        <f>DA6*0.3</f>
        <v>16.7625</v>
      </c>
      <c r="DI6" s="75"/>
      <c r="DJ6" s="79">
        <f>DI6*0.7</f>
        <v>0</v>
      </c>
      <c r="DK6" s="81">
        <f>DJ6+DH6</f>
        <v>16.7625</v>
      </c>
    </row>
    <row r="7" ht="26.25" customHeight="1">
      <c r="A7" s="68"/>
      <c r="B7" s="69">
        <v>3</v>
      </c>
      <c r="C7" t="s" s="70">
        <v>409</v>
      </c>
      <c r="D7" t="s" s="71">
        <v>410</v>
      </c>
      <c r="E7" t="s" s="72">
        <v>43</v>
      </c>
      <c r="F7" s="217"/>
      <c r="G7" t="s" s="113">
        <v>191</v>
      </c>
      <c r="H7" t="s" s="83">
        <v>161</v>
      </c>
      <c r="I7" t="s" s="218">
        <v>43</v>
      </c>
      <c r="J7" t="s" s="210">
        <v>43</v>
      </c>
      <c r="K7" t="s" s="211">
        <v>161</v>
      </c>
      <c r="L7" s="79">
        <v>10</v>
      </c>
      <c r="M7" s="163">
        <v>9</v>
      </c>
      <c r="N7" s="165">
        <v>10</v>
      </c>
      <c r="O7" s="79">
        <v>7</v>
      </c>
      <c r="P7" s="79">
        <v>9</v>
      </c>
      <c r="Q7" s="79">
        <v>8.5</v>
      </c>
      <c r="R7" s="79">
        <v>9</v>
      </c>
      <c r="S7" s="219">
        <v>10</v>
      </c>
      <c r="T7" s="222">
        <v>18</v>
      </c>
      <c r="U7" s="221">
        <v>9</v>
      </c>
      <c r="V7" s="222">
        <f>L7+M7+N7+O7+P7+Q7+R7+S7+T7+U7</f>
        <v>99.5</v>
      </c>
      <c r="W7" s="220"/>
      <c r="X7" s="165">
        <v>10</v>
      </c>
      <c r="Y7" s="223">
        <v>8</v>
      </c>
      <c r="Z7" s="163">
        <v>9</v>
      </c>
      <c r="AA7" s="165">
        <v>10</v>
      </c>
      <c r="AB7" s="79">
        <v>18</v>
      </c>
      <c r="AC7" s="110">
        <v>15</v>
      </c>
      <c r="AD7" s="79">
        <v>5</v>
      </c>
      <c r="AE7" s="110">
        <v>5</v>
      </c>
      <c r="AF7" s="79">
        <v>5</v>
      </c>
      <c r="AG7" s="79">
        <v>12</v>
      </c>
      <c r="AH7" s="111">
        <f>Y7+Z7+AA7+AB7+AC7+AD7+AE7+AF7+AG7+X7</f>
        <v>97</v>
      </c>
      <c r="AI7" s="76"/>
      <c r="AJ7" s="78">
        <v>3</v>
      </c>
      <c r="AK7" s="110">
        <v>10</v>
      </c>
      <c r="AL7" s="79">
        <v>20</v>
      </c>
      <c r="AM7" s="110">
        <v>20</v>
      </c>
      <c r="AN7" s="79">
        <v>10</v>
      </c>
      <c r="AO7" s="79">
        <v>15</v>
      </c>
      <c r="AP7" s="110">
        <v>10</v>
      </c>
      <c r="AQ7" s="79">
        <v>5</v>
      </c>
      <c r="AR7" s="110">
        <v>10</v>
      </c>
      <c r="AS7" s="79">
        <f>SUM(AK7:AR7)</f>
        <v>100</v>
      </c>
      <c r="AT7" s="18"/>
      <c r="AU7" s="78">
        <v>3</v>
      </c>
      <c r="AV7" s="110">
        <f>AS7+0</f>
        <v>100</v>
      </c>
      <c r="AW7" s="75"/>
      <c r="AX7" s="18"/>
      <c r="AY7" s="110">
        <f>AH7</f>
        <v>97</v>
      </c>
      <c r="AZ7" s="75"/>
      <c r="BA7" s="18"/>
      <c r="BB7" s="110">
        <f>V7</f>
        <v>99.5</v>
      </c>
      <c r="BC7" s="75"/>
      <c r="BD7" s="18"/>
      <c r="BE7" s="76"/>
      <c r="BF7" s="75"/>
      <c r="BG7" s="18"/>
      <c r="BH7" s="78">
        <v>3</v>
      </c>
      <c r="BI7" s="110">
        <f>AS7-1</f>
        <v>99</v>
      </c>
      <c r="BJ7" s="75"/>
      <c r="BK7" s="18"/>
      <c r="BL7" s="110">
        <f>AH7-1</f>
        <v>96</v>
      </c>
      <c r="BM7" s="75"/>
      <c r="BN7" s="18"/>
      <c r="BO7" s="110">
        <v>99</v>
      </c>
      <c r="BP7" s="75"/>
      <c r="BQ7" s="18"/>
      <c r="BR7" s="76"/>
      <c r="BS7" s="75"/>
      <c r="BT7" s="18"/>
      <c r="BU7" s="78">
        <v>3</v>
      </c>
      <c r="BV7" s="110">
        <v>100</v>
      </c>
      <c r="BW7" s="75"/>
      <c r="BX7" s="18"/>
      <c r="BY7" s="110">
        <f>AH7+2</f>
        <v>99</v>
      </c>
      <c r="BZ7" s="75"/>
      <c r="CA7" s="18"/>
      <c r="CB7" s="110">
        <v>100</v>
      </c>
      <c r="CC7" s="75"/>
      <c r="CD7" s="18"/>
      <c r="CE7" s="76"/>
      <c r="CF7" s="75"/>
      <c r="CG7" s="18"/>
      <c r="CH7" s="78">
        <v>3</v>
      </c>
      <c r="CI7" s="110">
        <v>100</v>
      </c>
      <c r="CJ7" s="75"/>
      <c r="CK7" s="18"/>
      <c r="CL7" s="110">
        <f>AH7+1</f>
        <v>98</v>
      </c>
      <c r="CM7" s="75"/>
      <c r="CN7" s="18"/>
      <c r="CO7" s="110">
        <v>100</v>
      </c>
      <c r="CP7" s="75"/>
      <c r="CQ7" s="18"/>
      <c r="CR7" s="76"/>
      <c r="CS7" s="75"/>
      <c r="CT7" s="18"/>
      <c r="CU7" s="78">
        <v>3</v>
      </c>
      <c r="CV7" s="79">
        <f>(AV7+AY7+BB7+BE7)/4</f>
        <v>74.125</v>
      </c>
      <c r="CW7" s="79">
        <f>(BI7+BL7+BO7+BR7)/4</f>
        <v>73.5</v>
      </c>
      <c r="CX7" s="79">
        <f>(BV7+BY7+CB7+CE7)/4</f>
        <v>74.75</v>
      </c>
      <c r="CY7" s="79">
        <f>(CI7+CL7+CO7+CR7)/4</f>
        <v>74.5</v>
      </c>
      <c r="CZ7" s="18"/>
      <c r="DA7" s="80">
        <f>SUM(CV7:CY7)/4</f>
        <v>74.21875</v>
      </c>
      <c r="DB7" s="18"/>
      <c r="DC7" s="79">
        <f>DA7*0.5</f>
        <v>37.109375</v>
      </c>
      <c r="DD7" s="75"/>
      <c r="DE7" s="79">
        <f>DD7*0.5</f>
        <v>0</v>
      </c>
      <c r="DF7" s="81">
        <f>DE7+DC7</f>
        <v>37.109375</v>
      </c>
      <c r="DG7" s="18"/>
      <c r="DH7" s="79">
        <f>DA7*0.3</f>
        <v>22.265625</v>
      </c>
      <c r="DI7" s="75"/>
      <c r="DJ7" s="79">
        <f>DI7*0.7</f>
        <v>0</v>
      </c>
      <c r="DK7" s="81">
        <f>DJ7+DH7</f>
        <v>22.265625</v>
      </c>
    </row>
    <row r="8" ht="26.25" customHeight="1">
      <c r="A8" s="68"/>
      <c r="B8" s="69">
        <v>4</v>
      </c>
      <c r="C8" t="s" s="70">
        <v>411</v>
      </c>
      <c r="D8" t="s" s="71">
        <v>412</v>
      </c>
      <c r="E8" t="s" s="72">
        <v>43</v>
      </c>
      <c r="F8" s="224"/>
      <c r="G8" t="s" s="113">
        <v>43</v>
      </c>
      <c r="H8" t="s" s="83">
        <v>43</v>
      </c>
      <c r="I8" t="s" s="218">
        <v>43</v>
      </c>
      <c r="J8" s="28"/>
      <c r="K8" t="s" s="211">
        <v>43</v>
      </c>
      <c r="L8" s="79">
        <v>10</v>
      </c>
      <c r="M8" s="163">
        <v>10</v>
      </c>
      <c r="N8" s="165">
        <v>10</v>
      </c>
      <c r="O8" s="79">
        <v>8</v>
      </c>
      <c r="P8" s="79">
        <v>8</v>
      </c>
      <c r="Q8" s="79">
        <v>9</v>
      </c>
      <c r="R8" s="79">
        <v>8</v>
      </c>
      <c r="S8" s="219">
        <v>10</v>
      </c>
      <c r="T8" s="222">
        <v>10</v>
      </c>
      <c r="U8" s="221">
        <v>0</v>
      </c>
      <c r="V8" s="222">
        <f>L8+M8+N8+O8+P8+Q8+R8+S8+T8+U8</f>
        <v>83</v>
      </c>
      <c r="W8" s="220"/>
      <c r="X8" s="165">
        <v>10</v>
      </c>
      <c r="Y8" s="223">
        <v>8</v>
      </c>
      <c r="Z8" s="163">
        <v>10</v>
      </c>
      <c r="AA8" s="165">
        <v>10</v>
      </c>
      <c r="AB8" s="79">
        <v>18</v>
      </c>
      <c r="AC8" s="110">
        <v>15</v>
      </c>
      <c r="AD8" s="79">
        <v>0</v>
      </c>
      <c r="AE8" s="110">
        <v>0</v>
      </c>
      <c r="AF8" s="79">
        <v>0</v>
      </c>
      <c r="AG8" s="79">
        <v>12</v>
      </c>
      <c r="AH8" s="111">
        <f>Y8+Z8+AA8+AB8+AC8+AD8+AE8+AF8+AG8+X8</f>
        <v>83</v>
      </c>
      <c r="AI8" s="76"/>
      <c r="AJ8" s="78">
        <v>4</v>
      </c>
      <c r="AK8" s="110">
        <v>10</v>
      </c>
      <c r="AL8" s="79">
        <v>17</v>
      </c>
      <c r="AM8" s="110">
        <v>20</v>
      </c>
      <c r="AN8" s="79">
        <v>10</v>
      </c>
      <c r="AO8" s="79">
        <v>3</v>
      </c>
      <c r="AP8" s="110">
        <v>10</v>
      </c>
      <c r="AQ8" s="79">
        <v>0</v>
      </c>
      <c r="AR8" s="110">
        <v>10</v>
      </c>
      <c r="AS8" s="79">
        <f>SUM(AK8:AR8)</f>
        <v>80</v>
      </c>
      <c r="AT8" s="18"/>
      <c r="AU8" s="78">
        <v>4</v>
      </c>
      <c r="AV8" s="110">
        <f>AS8+0</f>
        <v>80</v>
      </c>
      <c r="AW8" s="75"/>
      <c r="AX8" s="18"/>
      <c r="AY8" s="110">
        <f>AH8</f>
        <v>83</v>
      </c>
      <c r="AZ8" s="75"/>
      <c r="BA8" s="18"/>
      <c r="BB8" s="110">
        <f>V8</f>
        <v>83</v>
      </c>
      <c r="BC8" s="75"/>
      <c r="BD8" s="18"/>
      <c r="BE8" s="76"/>
      <c r="BF8" s="75"/>
      <c r="BG8" s="18"/>
      <c r="BH8" s="78">
        <v>4</v>
      </c>
      <c r="BI8" s="110">
        <f>AS8-1</f>
        <v>79</v>
      </c>
      <c r="BJ8" s="75"/>
      <c r="BK8" s="18"/>
      <c r="BL8" s="110">
        <f>AH8-1</f>
        <v>82</v>
      </c>
      <c r="BM8" s="75"/>
      <c r="BN8" s="18"/>
      <c r="BO8" s="110">
        <f>V8-1</f>
        <v>82</v>
      </c>
      <c r="BP8" s="75"/>
      <c r="BQ8" s="18"/>
      <c r="BR8" s="76"/>
      <c r="BS8" s="75"/>
      <c r="BT8" s="18"/>
      <c r="BU8" s="78">
        <v>4</v>
      </c>
      <c r="BV8" s="110">
        <f>AS8+2</f>
        <v>82</v>
      </c>
      <c r="BW8" s="75"/>
      <c r="BX8" s="18"/>
      <c r="BY8" s="110">
        <f>AH8+2</f>
        <v>85</v>
      </c>
      <c r="BZ8" s="75"/>
      <c r="CA8" s="18"/>
      <c r="CB8" s="110">
        <f>V8+2</f>
        <v>85</v>
      </c>
      <c r="CC8" s="75"/>
      <c r="CD8" s="18"/>
      <c r="CE8" s="76"/>
      <c r="CF8" s="75"/>
      <c r="CG8" s="18"/>
      <c r="CH8" s="78">
        <v>4</v>
      </c>
      <c r="CI8" s="110">
        <f>AS8+1</f>
        <v>81</v>
      </c>
      <c r="CJ8" s="75"/>
      <c r="CK8" s="18"/>
      <c r="CL8" s="110">
        <f>AH8+1</f>
        <v>84</v>
      </c>
      <c r="CM8" s="75"/>
      <c r="CN8" s="18"/>
      <c r="CO8" s="110">
        <f>V8+1</f>
        <v>84</v>
      </c>
      <c r="CP8" s="75"/>
      <c r="CQ8" s="18"/>
      <c r="CR8" s="76"/>
      <c r="CS8" s="75"/>
      <c r="CT8" s="18"/>
      <c r="CU8" s="78">
        <v>4</v>
      </c>
      <c r="CV8" s="79">
        <f>(AV8+AY8+BB8+BE8)/4</f>
        <v>61.5</v>
      </c>
      <c r="CW8" s="79">
        <f>(BI8+BL8+BO8+BR8)/4</f>
        <v>60.75</v>
      </c>
      <c r="CX8" s="79">
        <f>(BV8+BY8+CB8+CE8)/4</f>
        <v>63</v>
      </c>
      <c r="CY8" s="79">
        <f>(CI8+CL8+CO8+CR8)/4</f>
        <v>62.25</v>
      </c>
      <c r="CZ8" s="18"/>
      <c r="DA8" s="80">
        <f>SUM(CV8:CY8)/4</f>
        <v>61.875</v>
      </c>
      <c r="DB8" s="18"/>
      <c r="DC8" s="79">
        <f>DA8*0.5</f>
        <v>30.9375</v>
      </c>
      <c r="DD8" s="75"/>
      <c r="DE8" s="79">
        <f>DD8*0.5</f>
        <v>0</v>
      </c>
      <c r="DF8" s="81">
        <f>DE8+DC8</f>
        <v>30.9375</v>
      </c>
      <c r="DG8" s="18"/>
      <c r="DH8" s="79">
        <f>DA8*0.3</f>
        <v>18.5625</v>
      </c>
      <c r="DI8" s="75"/>
      <c r="DJ8" s="79">
        <f>DI8*0.7</f>
        <v>0</v>
      </c>
      <c r="DK8" s="81">
        <f>DJ8+DH8</f>
        <v>18.5625</v>
      </c>
    </row>
    <row r="9" ht="26.25" customHeight="1">
      <c r="A9" s="68"/>
      <c r="B9" s="69">
        <v>5</v>
      </c>
      <c r="C9" t="s" s="70">
        <v>413</v>
      </c>
      <c r="D9" t="s" s="71">
        <v>414</v>
      </c>
      <c r="E9" t="s" s="72">
        <v>161</v>
      </c>
      <c r="F9" t="s" s="113">
        <v>161</v>
      </c>
      <c r="G9" t="s" s="225">
        <v>415</v>
      </c>
      <c r="H9" t="s" s="83">
        <v>161</v>
      </c>
      <c r="I9" t="s" s="226">
        <v>43</v>
      </c>
      <c r="J9" t="s" s="227">
        <v>161</v>
      </c>
      <c r="K9" t="s" s="211">
        <v>43</v>
      </c>
      <c r="L9" s="79">
        <v>8</v>
      </c>
      <c r="M9" s="163">
        <v>8</v>
      </c>
      <c r="N9" s="165">
        <v>8</v>
      </c>
      <c r="O9" s="79">
        <v>8</v>
      </c>
      <c r="P9" s="79">
        <v>9</v>
      </c>
      <c r="Q9" s="79">
        <v>8</v>
      </c>
      <c r="R9" s="79">
        <v>9</v>
      </c>
      <c r="S9" s="228">
        <v>10</v>
      </c>
      <c r="T9" s="229"/>
      <c r="U9" s="228">
        <v>7</v>
      </c>
      <c r="V9" s="230">
        <f>L9+M9+N9+O9+P9+Q9+R9+S9+T9+U9</f>
        <v>75</v>
      </c>
      <c r="W9" s="229"/>
      <c r="X9" s="231">
        <v>0</v>
      </c>
      <c r="Y9" s="165">
        <v>4</v>
      </c>
      <c r="Z9" s="163">
        <v>8</v>
      </c>
      <c r="AA9" s="165">
        <v>8</v>
      </c>
      <c r="AB9" s="79">
        <v>8</v>
      </c>
      <c r="AC9" s="145">
        <v>15</v>
      </c>
      <c r="AD9" s="79">
        <v>0</v>
      </c>
      <c r="AE9" s="110">
        <v>0</v>
      </c>
      <c r="AF9" s="79">
        <v>0</v>
      </c>
      <c r="AG9" s="79">
        <v>12</v>
      </c>
      <c r="AH9" s="111">
        <f>Y9+Z9+AA9+AB9+AC9+AD9+AE9+AF9+AG9+X9</f>
        <v>55</v>
      </c>
      <c r="AI9" s="76"/>
      <c r="AJ9" s="78">
        <v>5</v>
      </c>
      <c r="AK9" s="123">
        <v>10</v>
      </c>
      <c r="AL9" s="123">
        <v>15</v>
      </c>
      <c r="AM9" s="123">
        <v>20</v>
      </c>
      <c r="AN9" s="123">
        <v>0</v>
      </c>
      <c r="AO9" s="123">
        <v>10</v>
      </c>
      <c r="AP9" s="123">
        <v>9</v>
      </c>
      <c r="AQ9" s="123">
        <v>0</v>
      </c>
      <c r="AR9" s="123">
        <v>10</v>
      </c>
      <c r="AS9" s="123">
        <f>SUM(AK9:AR9)</f>
        <v>74</v>
      </c>
      <c r="AT9" s="112">
        <v>75</v>
      </c>
      <c r="AU9" s="78">
        <v>5</v>
      </c>
      <c r="AV9" s="110">
        <f>AS9+0</f>
        <v>74</v>
      </c>
      <c r="AW9" s="75"/>
      <c r="AX9" s="18"/>
      <c r="AY9" s="110">
        <f>AH9</f>
        <v>55</v>
      </c>
      <c r="AZ9" s="79">
        <v>70</v>
      </c>
      <c r="BA9" s="18"/>
      <c r="BB9" s="110">
        <f>V9</f>
        <v>75</v>
      </c>
      <c r="BC9" s="75"/>
      <c r="BD9" s="18"/>
      <c r="BE9" s="76"/>
      <c r="BF9" s="75"/>
      <c r="BG9" s="18"/>
      <c r="BH9" s="78">
        <v>5</v>
      </c>
      <c r="BI9" s="110">
        <f>AS9-1</f>
        <v>73</v>
      </c>
      <c r="BJ9" s="75"/>
      <c r="BK9" s="18"/>
      <c r="BL9" s="110">
        <f>AH9-1</f>
        <v>54</v>
      </c>
      <c r="BM9" s="79">
        <v>70</v>
      </c>
      <c r="BN9" s="18"/>
      <c r="BO9" s="110">
        <f>V9-1</f>
        <v>74</v>
      </c>
      <c r="BP9" s="75"/>
      <c r="BQ9" s="18"/>
      <c r="BR9" s="76"/>
      <c r="BS9" s="75"/>
      <c r="BT9" s="18"/>
      <c r="BU9" s="78">
        <v>5</v>
      </c>
      <c r="BV9" s="110">
        <f>AS9+2</f>
        <v>76</v>
      </c>
      <c r="BW9" s="75"/>
      <c r="BX9" s="18"/>
      <c r="BY9" s="110">
        <f>AH9+2</f>
        <v>57</v>
      </c>
      <c r="BZ9" s="79">
        <v>70</v>
      </c>
      <c r="CA9" s="18"/>
      <c r="CB9" s="110">
        <f>V9+2</f>
        <v>77</v>
      </c>
      <c r="CC9" s="75"/>
      <c r="CD9" s="18"/>
      <c r="CE9" s="76"/>
      <c r="CF9" s="75"/>
      <c r="CG9" s="18"/>
      <c r="CH9" s="78">
        <v>5</v>
      </c>
      <c r="CI9" s="110">
        <f>AS9+1</f>
        <v>75</v>
      </c>
      <c r="CJ9" s="75"/>
      <c r="CK9" s="18"/>
      <c r="CL9" s="110">
        <f>AH9+1</f>
        <v>56</v>
      </c>
      <c r="CM9" s="79">
        <v>70</v>
      </c>
      <c r="CN9" s="18"/>
      <c r="CO9" s="110">
        <f>V9+1</f>
        <v>76</v>
      </c>
      <c r="CP9" s="75"/>
      <c r="CQ9" s="18"/>
      <c r="CR9" s="76"/>
      <c r="CS9" s="75"/>
      <c r="CT9" s="18"/>
      <c r="CU9" s="78">
        <v>5</v>
      </c>
      <c r="CV9" s="79">
        <f>(AV9+AY9+BB9+BE9)/4</f>
        <v>51</v>
      </c>
      <c r="CW9" s="79">
        <f>(BI9+BL9+BO9+BR9)/4</f>
        <v>50.25</v>
      </c>
      <c r="CX9" s="79">
        <f>(BV9+BY9+CB9+CE9)/4</f>
        <v>52.5</v>
      </c>
      <c r="CY9" s="79">
        <f>(CI9+CL9+CO9+CR9)/4</f>
        <v>51.75</v>
      </c>
      <c r="CZ9" s="18"/>
      <c r="DA9" s="80">
        <f>SUM(CV9:CY9)/4</f>
        <v>51.375</v>
      </c>
      <c r="DB9" s="18"/>
      <c r="DC9" s="79">
        <f>DA9*0.5</f>
        <v>25.6875</v>
      </c>
      <c r="DD9" s="75"/>
      <c r="DE9" s="79">
        <f>DD9*0.5</f>
        <v>0</v>
      </c>
      <c r="DF9" s="81">
        <f>DE9+DC9</f>
        <v>25.6875</v>
      </c>
      <c r="DG9" s="18"/>
      <c r="DH9" s="79">
        <f>DA9*0.3</f>
        <v>15.4125</v>
      </c>
      <c r="DI9" s="75"/>
      <c r="DJ9" s="79">
        <f>DI9*0.7</f>
        <v>0</v>
      </c>
      <c r="DK9" s="81">
        <f>DJ9+DH9</f>
        <v>15.4125</v>
      </c>
    </row>
    <row r="10" ht="26.25" customHeight="1">
      <c r="A10" s="68"/>
      <c r="B10" s="69">
        <v>6</v>
      </c>
      <c r="C10" t="s" s="70">
        <v>416</v>
      </c>
      <c r="D10" t="s" s="71">
        <v>417</v>
      </c>
      <c r="E10" t="s" s="72">
        <v>43</v>
      </c>
      <c r="F10" s="82"/>
      <c r="G10" t="s" s="83">
        <v>43</v>
      </c>
      <c r="H10" t="s" s="83">
        <v>161</v>
      </c>
      <c r="I10" t="s" s="232">
        <v>43</v>
      </c>
      <c r="J10" t="s" s="227">
        <v>43</v>
      </c>
      <c r="K10" t="s" s="211">
        <v>43</v>
      </c>
      <c r="L10" s="79">
        <v>10</v>
      </c>
      <c r="M10" s="163">
        <v>10</v>
      </c>
      <c r="N10" s="165">
        <v>10</v>
      </c>
      <c r="O10" s="79">
        <v>7</v>
      </c>
      <c r="P10" s="79">
        <v>8</v>
      </c>
      <c r="Q10" s="79">
        <v>9</v>
      </c>
      <c r="R10" s="79">
        <v>8</v>
      </c>
      <c r="S10" s="79">
        <v>10</v>
      </c>
      <c r="T10" s="79">
        <v>10</v>
      </c>
      <c r="U10" s="79">
        <v>10</v>
      </c>
      <c r="V10" s="233">
        <f>L10+M10+N10+O10+P10+Q10+R10+S10+T10+U10</f>
        <v>92</v>
      </c>
      <c r="W10" s="75"/>
      <c r="X10" s="163">
        <v>10</v>
      </c>
      <c r="Y10" s="165">
        <v>10</v>
      </c>
      <c r="Z10" s="163">
        <v>10</v>
      </c>
      <c r="AA10" s="165">
        <v>10</v>
      </c>
      <c r="AB10" s="79">
        <v>20</v>
      </c>
      <c r="AC10" s="110">
        <v>15</v>
      </c>
      <c r="AD10" s="79">
        <v>5</v>
      </c>
      <c r="AE10" s="110">
        <v>5</v>
      </c>
      <c r="AF10" s="79">
        <v>5</v>
      </c>
      <c r="AG10" s="79">
        <v>12</v>
      </c>
      <c r="AH10" s="111">
        <f>Y10+Z10+AA10+AB10+AC10+AD10+AE10+AF10+AG10+X10</f>
        <v>102</v>
      </c>
      <c r="AI10" s="76"/>
      <c r="AJ10" s="78">
        <v>6</v>
      </c>
      <c r="AK10" s="110">
        <v>8</v>
      </c>
      <c r="AL10" s="79">
        <v>20</v>
      </c>
      <c r="AM10" s="110">
        <v>20</v>
      </c>
      <c r="AN10" s="79">
        <v>10</v>
      </c>
      <c r="AO10" s="79">
        <v>13</v>
      </c>
      <c r="AP10" s="110">
        <v>9</v>
      </c>
      <c r="AQ10" s="79">
        <v>5</v>
      </c>
      <c r="AR10" s="110">
        <v>10</v>
      </c>
      <c r="AS10" s="79">
        <f>SUM(AK10:AR10)</f>
        <v>95</v>
      </c>
      <c r="AT10" s="18"/>
      <c r="AU10" s="78">
        <v>6</v>
      </c>
      <c r="AV10" s="110">
        <f>AS10+0</f>
        <v>95</v>
      </c>
      <c r="AW10" s="75"/>
      <c r="AX10" s="18"/>
      <c r="AY10" s="110">
        <v>100</v>
      </c>
      <c r="AZ10" s="75"/>
      <c r="BA10" s="18"/>
      <c r="BB10" s="110">
        <f>V10</f>
        <v>92</v>
      </c>
      <c r="BC10" s="75"/>
      <c r="BD10" s="18"/>
      <c r="BE10" s="76"/>
      <c r="BF10" s="75"/>
      <c r="BG10" s="18"/>
      <c r="BH10" s="78">
        <v>6</v>
      </c>
      <c r="BI10" s="110">
        <f>AS10-1</f>
        <v>94</v>
      </c>
      <c r="BJ10" s="75"/>
      <c r="BK10" s="18"/>
      <c r="BL10" s="110">
        <v>100</v>
      </c>
      <c r="BM10" s="75"/>
      <c r="BN10" s="18"/>
      <c r="BO10" s="110">
        <f>V10-1</f>
        <v>91</v>
      </c>
      <c r="BP10" s="75"/>
      <c r="BQ10" s="18"/>
      <c r="BR10" s="76"/>
      <c r="BS10" s="75"/>
      <c r="BT10" s="18"/>
      <c r="BU10" s="78">
        <v>6</v>
      </c>
      <c r="BV10" s="110">
        <f>AS10+2</f>
        <v>97</v>
      </c>
      <c r="BW10" s="75"/>
      <c r="BX10" s="18"/>
      <c r="BY10" s="110">
        <v>100</v>
      </c>
      <c r="BZ10" s="75"/>
      <c r="CA10" s="18"/>
      <c r="CB10" s="110">
        <f>V10+2</f>
        <v>94</v>
      </c>
      <c r="CC10" s="75"/>
      <c r="CD10" s="18"/>
      <c r="CE10" s="76"/>
      <c r="CF10" s="75"/>
      <c r="CG10" s="18"/>
      <c r="CH10" s="78">
        <v>6</v>
      </c>
      <c r="CI10" s="110">
        <f>AS10+1</f>
        <v>96</v>
      </c>
      <c r="CJ10" s="75"/>
      <c r="CK10" s="18"/>
      <c r="CL10" s="110">
        <v>100</v>
      </c>
      <c r="CM10" s="75"/>
      <c r="CN10" s="18"/>
      <c r="CO10" s="110">
        <f>V10+1</f>
        <v>93</v>
      </c>
      <c r="CP10" s="75"/>
      <c r="CQ10" s="18"/>
      <c r="CR10" s="76"/>
      <c r="CS10" s="75"/>
      <c r="CT10" s="18"/>
      <c r="CU10" s="78">
        <v>6</v>
      </c>
      <c r="CV10" s="79">
        <f>(AV10+AY10+BB10+BE10)/4</f>
        <v>71.75</v>
      </c>
      <c r="CW10" s="79">
        <f>(BI10+BL10+BO10+BR10)/4</f>
        <v>71.25</v>
      </c>
      <c r="CX10" s="79">
        <f>(BV10+BY10+CB10+CE10)/4</f>
        <v>72.75</v>
      </c>
      <c r="CY10" s="79">
        <f>(CI10+CL10+CO10+CR10)/4</f>
        <v>72.25</v>
      </c>
      <c r="CZ10" s="18"/>
      <c r="DA10" s="80">
        <f>SUM(CV10:CY10)/4</f>
        <v>72</v>
      </c>
      <c r="DB10" s="18"/>
      <c r="DC10" s="79">
        <f>DA10*0.5</f>
        <v>36</v>
      </c>
      <c r="DD10" s="75"/>
      <c r="DE10" s="79">
        <f>DD10*0.5</f>
        <v>0</v>
      </c>
      <c r="DF10" s="81">
        <f>DE10+DC10</f>
        <v>36</v>
      </c>
      <c r="DG10" s="18"/>
      <c r="DH10" s="79">
        <f>DA10*0.3</f>
        <v>21.6</v>
      </c>
      <c r="DI10" s="75"/>
      <c r="DJ10" s="79">
        <f>DI10*0.7</f>
        <v>0</v>
      </c>
      <c r="DK10" s="81">
        <f>DJ10+DH10</f>
        <v>21.6</v>
      </c>
    </row>
    <row r="11" ht="26.25" customHeight="1">
      <c r="A11" s="68"/>
      <c r="B11" s="69">
        <v>7</v>
      </c>
      <c r="C11" t="s" s="70">
        <v>418</v>
      </c>
      <c r="D11" t="s" s="71">
        <v>419</v>
      </c>
      <c r="E11" t="s" s="72">
        <v>43</v>
      </c>
      <c r="F11" t="s" s="113">
        <v>161</v>
      </c>
      <c r="G11" t="s" s="83">
        <v>43</v>
      </c>
      <c r="H11" t="s" s="83">
        <v>161</v>
      </c>
      <c r="I11" t="s" s="232">
        <v>43</v>
      </c>
      <c r="J11" t="s" s="227">
        <v>43</v>
      </c>
      <c r="K11" t="s" s="211">
        <v>43</v>
      </c>
      <c r="L11" s="79">
        <v>10</v>
      </c>
      <c r="M11" s="163">
        <v>10</v>
      </c>
      <c r="N11" s="165">
        <v>10</v>
      </c>
      <c r="O11" s="79">
        <v>8</v>
      </c>
      <c r="P11" s="79">
        <v>8</v>
      </c>
      <c r="Q11" s="79">
        <v>9</v>
      </c>
      <c r="R11" s="79">
        <v>8</v>
      </c>
      <c r="S11" s="79">
        <v>10</v>
      </c>
      <c r="T11" s="79">
        <v>10</v>
      </c>
      <c r="U11" s="79">
        <v>0</v>
      </c>
      <c r="V11" s="233">
        <f>L11+M11+N11+O11+P11+Q11+R11+S11+T11+U11</f>
        <v>83</v>
      </c>
      <c r="W11" s="75"/>
      <c r="X11" s="163">
        <v>0</v>
      </c>
      <c r="Y11" s="165">
        <v>10</v>
      </c>
      <c r="Z11" s="163">
        <v>10</v>
      </c>
      <c r="AA11" s="165">
        <v>10</v>
      </c>
      <c r="AB11" s="79">
        <v>18</v>
      </c>
      <c r="AC11" s="110">
        <v>15</v>
      </c>
      <c r="AD11" s="79">
        <v>5</v>
      </c>
      <c r="AE11" s="110">
        <v>5</v>
      </c>
      <c r="AF11" s="79">
        <v>5</v>
      </c>
      <c r="AG11" s="79">
        <v>12</v>
      </c>
      <c r="AH11" s="111">
        <f>Y11+Z11+AA11+AB11+AC11+AD11+AE11+AF11+AG11+X11</f>
        <v>90</v>
      </c>
      <c r="AI11" s="76"/>
      <c r="AJ11" s="78">
        <v>7</v>
      </c>
      <c r="AK11" s="110">
        <v>10</v>
      </c>
      <c r="AL11" s="79">
        <v>18</v>
      </c>
      <c r="AM11" s="110">
        <v>20</v>
      </c>
      <c r="AN11" s="79">
        <v>10</v>
      </c>
      <c r="AO11" s="79">
        <v>15</v>
      </c>
      <c r="AP11" s="110">
        <v>10</v>
      </c>
      <c r="AQ11" s="79">
        <v>5</v>
      </c>
      <c r="AR11" s="110">
        <v>10</v>
      </c>
      <c r="AS11" s="79">
        <f>SUM(AK11:AR11)</f>
        <v>98</v>
      </c>
      <c r="AT11" s="18"/>
      <c r="AU11" s="78">
        <v>7</v>
      </c>
      <c r="AV11" s="110">
        <f>AS11+0</f>
        <v>98</v>
      </c>
      <c r="AW11" s="75"/>
      <c r="AX11" s="18"/>
      <c r="AY11" s="110">
        <f>AH11</f>
        <v>90</v>
      </c>
      <c r="AZ11" s="75"/>
      <c r="BA11" s="18"/>
      <c r="BB11" s="110">
        <f>V11</f>
        <v>83</v>
      </c>
      <c r="BC11" s="75"/>
      <c r="BD11" s="18"/>
      <c r="BE11" s="76"/>
      <c r="BF11" s="75"/>
      <c r="BG11" s="18"/>
      <c r="BH11" s="78">
        <v>7</v>
      </c>
      <c r="BI11" s="110">
        <f>AS11-1</f>
        <v>97</v>
      </c>
      <c r="BJ11" s="75"/>
      <c r="BK11" s="18"/>
      <c r="BL11" s="110">
        <f>AH11-1</f>
        <v>89</v>
      </c>
      <c r="BM11" s="75"/>
      <c r="BN11" s="18"/>
      <c r="BO11" s="110">
        <f>V11-1</f>
        <v>82</v>
      </c>
      <c r="BP11" s="75"/>
      <c r="BQ11" s="18"/>
      <c r="BR11" s="76"/>
      <c r="BS11" s="75"/>
      <c r="BT11" s="18"/>
      <c r="BU11" s="78">
        <v>7</v>
      </c>
      <c r="BV11" s="110">
        <f>AS11+2</f>
        <v>100</v>
      </c>
      <c r="BW11" s="75"/>
      <c r="BX11" s="18"/>
      <c r="BY11" s="110">
        <f>AH11+2</f>
        <v>92</v>
      </c>
      <c r="BZ11" s="75"/>
      <c r="CA11" s="18"/>
      <c r="CB11" s="110">
        <f>V11+2</f>
        <v>85</v>
      </c>
      <c r="CC11" s="75"/>
      <c r="CD11" s="18"/>
      <c r="CE11" s="76"/>
      <c r="CF11" s="75"/>
      <c r="CG11" s="18"/>
      <c r="CH11" s="78">
        <v>7</v>
      </c>
      <c r="CI11" s="110">
        <f>AS11+1</f>
        <v>99</v>
      </c>
      <c r="CJ11" s="75"/>
      <c r="CK11" s="18"/>
      <c r="CL11" s="110">
        <f>AH11+1</f>
        <v>91</v>
      </c>
      <c r="CM11" s="75"/>
      <c r="CN11" s="18"/>
      <c r="CO11" s="110">
        <f>V11+1</f>
        <v>84</v>
      </c>
      <c r="CP11" s="75"/>
      <c r="CQ11" s="18"/>
      <c r="CR11" s="76"/>
      <c r="CS11" s="75"/>
      <c r="CT11" s="18"/>
      <c r="CU11" s="78">
        <v>7</v>
      </c>
      <c r="CV11" s="79">
        <f>(AV11+AY11+BB11+BE11)/4</f>
        <v>67.75</v>
      </c>
      <c r="CW11" s="79">
        <f>(BI11+BL11+BO11+BR11)/4</f>
        <v>67</v>
      </c>
      <c r="CX11" s="79">
        <f>(BV11+BY11+CB11+CE11)/4</f>
        <v>69.25</v>
      </c>
      <c r="CY11" s="79">
        <f>(CI11+CL11+CO11+CR11)/4</f>
        <v>68.5</v>
      </c>
      <c r="CZ11" s="18"/>
      <c r="DA11" s="80">
        <f>SUM(CV11:CY11)/4</f>
        <v>68.125</v>
      </c>
      <c r="DB11" s="18"/>
      <c r="DC11" s="79">
        <f>DA11*0.5</f>
        <v>34.0625</v>
      </c>
      <c r="DD11" s="75"/>
      <c r="DE11" s="79">
        <f>DD11*0.5</f>
        <v>0</v>
      </c>
      <c r="DF11" s="81">
        <f>DE11+DC11</f>
        <v>34.0625</v>
      </c>
      <c r="DG11" s="18"/>
      <c r="DH11" s="79">
        <f>DA11*0.3</f>
        <v>20.4375</v>
      </c>
      <c r="DI11" s="75"/>
      <c r="DJ11" s="79">
        <f>DI11*0.7</f>
        <v>0</v>
      </c>
      <c r="DK11" s="81">
        <f>DJ11+DH11</f>
        <v>20.4375</v>
      </c>
    </row>
    <row r="12" ht="26.25" customHeight="1">
      <c r="A12" s="68"/>
      <c r="B12" s="69">
        <v>8</v>
      </c>
      <c r="C12" t="s" s="70">
        <v>420</v>
      </c>
      <c r="D12" t="s" s="71">
        <v>421</v>
      </c>
      <c r="E12" t="s" s="72">
        <v>161</v>
      </c>
      <c r="F12" s="82"/>
      <c r="G12" t="s" s="83">
        <v>43</v>
      </c>
      <c r="H12" t="s" s="83">
        <v>161</v>
      </c>
      <c r="I12" t="s" s="232">
        <v>43</v>
      </c>
      <c r="J12" t="s" s="227">
        <v>43</v>
      </c>
      <c r="K12" t="s" s="211">
        <v>43</v>
      </c>
      <c r="L12" s="79">
        <v>10</v>
      </c>
      <c r="M12" s="163">
        <v>9</v>
      </c>
      <c r="N12" s="165">
        <v>9</v>
      </c>
      <c r="O12" s="79">
        <v>0</v>
      </c>
      <c r="P12" s="75"/>
      <c r="Q12" s="75"/>
      <c r="R12" s="75"/>
      <c r="S12" s="79">
        <v>10</v>
      </c>
      <c r="T12" s="75"/>
      <c r="U12" s="79">
        <v>7</v>
      </c>
      <c r="V12" s="233">
        <f>L12+M12+N12+O12+P12+Q12+R12+S12+T12+U12</f>
        <v>45</v>
      </c>
      <c r="W12" s="75"/>
      <c r="X12" s="163">
        <v>0</v>
      </c>
      <c r="Y12" s="165">
        <v>9</v>
      </c>
      <c r="Z12" s="163">
        <v>9</v>
      </c>
      <c r="AA12" s="165">
        <v>9</v>
      </c>
      <c r="AB12" s="79">
        <v>12</v>
      </c>
      <c r="AC12" s="110">
        <v>0</v>
      </c>
      <c r="AD12" s="79">
        <v>0</v>
      </c>
      <c r="AE12" s="110">
        <v>5</v>
      </c>
      <c r="AF12" s="79">
        <v>0</v>
      </c>
      <c r="AG12" s="79">
        <v>12</v>
      </c>
      <c r="AH12" s="111">
        <f>Y12+Z12+AA12+AB12+AC12+AD12+AE12+AF12+AG12+X12</f>
        <v>56</v>
      </c>
      <c r="AI12" s="76"/>
      <c r="AJ12" s="125">
        <v>8</v>
      </c>
      <c r="AK12" s="123">
        <v>10</v>
      </c>
      <c r="AL12" s="123">
        <v>15</v>
      </c>
      <c r="AM12" s="123">
        <v>20</v>
      </c>
      <c r="AN12" s="124"/>
      <c r="AO12" s="123">
        <v>10</v>
      </c>
      <c r="AP12" s="123">
        <v>5</v>
      </c>
      <c r="AQ12" s="124"/>
      <c r="AR12" s="123">
        <v>10</v>
      </c>
      <c r="AS12" s="79">
        <f>SUM(AK12:AR12)</f>
        <v>70</v>
      </c>
      <c r="AT12" s="112">
        <v>70</v>
      </c>
      <c r="AU12" s="78">
        <v>8</v>
      </c>
      <c r="AV12" s="110">
        <v>60</v>
      </c>
      <c r="AW12" s="79">
        <v>70</v>
      </c>
      <c r="AX12" s="18"/>
      <c r="AY12" s="110">
        <f>AH12</f>
        <v>56</v>
      </c>
      <c r="AZ12" s="79">
        <v>56</v>
      </c>
      <c r="BA12" s="18"/>
      <c r="BB12" s="110">
        <f>V12</f>
        <v>45</v>
      </c>
      <c r="BC12" s="75"/>
      <c r="BD12" s="18"/>
      <c r="BE12" s="76"/>
      <c r="BF12" s="75"/>
      <c r="BG12" s="18"/>
      <c r="BH12" s="78">
        <v>8</v>
      </c>
      <c r="BI12" s="110">
        <v>60</v>
      </c>
      <c r="BJ12" s="79">
        <v>70</v>
      </c>
      <c r="BK12" s="18"/>
      <c r="BL12" s="110">
        <f>AH12-1</f>
        <v>55</v>
      </c>
      <c r="BM12" s="79">
        <v>56</v>
      </c>
      <c r="BN12" s="18"/>
      <c r="BO12" s="110">
        <f>V12-1</f>
        <v>44</v>
      </c>
      <c r="BP12" s="75"/>
      <c r="BQ12" s="18"/>
      <c r="BR12" s="76"/>
      <c r="BS12" s="75"/>
      <c r="BT12" s="18"/>
      <c r="BU12" s="78">
        <v>8</v>
      </c>
      <c r="BV12" s="110">
        <v>60</v>
      </c>
      <c r="BW12" s="79">
        <v>70</v>
      </c>
      <c r="BX12" s="18"/>
      <c r="BY12" s="110">
        <f>AH12+2</f>
        <v>58</v>
      </c>
      <c r="BZ12" s="79">
        <v>56</v>
      </c>
      <c r="CA12" s="18"/>
      <c r="CB12" s="110">
        <f>V12+2</f>
        <v>47</v>
      </c>
      <c r="CC12" s="75"/>
      <c r="CD12" s="18"/>
      <c r="CE12" s="76"/>
      <c r="CF12" s="75"/>
      <c r="CG12" s="18"/>
      <c r="CH12" s="78">
        <v>8</v>
      </c>
      <c r="CI12" s="110">
        <v>60</v>
      </c>
      <c r="CJ12" s="79">
        <v>70</v>
      </c>
      <c r="CK12" s="18"/>
      <c r="CL12" s="110">
        <f>AH12+1</f>
        <v>57</v>
      </c>
      <c r="CM12" s="79">
        <v>56</v>
      </c>
      <c r="CN12" s="18"/>
      <c r="CO12" s="110">
        <f>V12+1</f>
        <v>46</v>
      </c>
      <c r="CP12" s="75"/>
      <c r="CQ12" s="18"/>
      <c r="CR12" s="76"/>
      <c r="CS12" s="75"/>
      <c r="CT12" s="18"/>
      <c r="CU12" s="78">
        <v>8</v>
      </c>
      <c r="CV12" s="79">
        <f>(AV12+AY12+BB12+BE12)/4</f>
        <v>40.25</v>
      </c>
      <c r="CW12" s="79">
        <f>(BI12+BL12+BO12+BR12)/4</f>
        <v>39.75</v>
      </c>
      <c r="CX12" s="79">
        <f>(BV12+BY12+CB12+CE12)/4</f>
        <v>41.25</v>
      </c>
      <c r="CY12" s="79">
        <f>(CI12+CL12+CO12+CR12)/4</f>
        <v>40.75</v>
      </c>
      <c r="CZ12" s="18"/>
      <c r="DA12" s="80">
        <f>SUM(CV12:CY12)/4</f>
        <v>40.5</v>
      </c>
      <c r="DB12" s="18"/>
      <c r="DC12" s="79">
        <f>DA12*0.5</f>
        <v>20.25</v>
      </c>
      <c r="DD12" s="75"/>
      <c r="DE12" s="79">
        <f>DD12*0.5</f>
        <v>0</v>
      </c>
      <c r="DF12" s="81">
        <f>DE12+DC12</f>
        <v>20.25</v>
      </c>
      <c r="DG12" s="18"/>
      <c r="DH12" s="79">
        <f>DA12*0.3</f>
        <v>12.15</v>
      </c>
      <c r="DI12" s="75"/>
      <c r="DJ12" s="79">
        <f>DI12*0.7</f>
        <v>0</v>
      </c>
      <c r="DK12" s="81">
        <f>DJ12+DH12</f>
        <v>12.15</v>
      </c>
    </row>
    <row r="13" ht="26.25" customHeight="1">
      <c r="A13" s="68"/>
      <c r="B13" s="69">
        <v>9</v>
      </c>
      <c r="C13" t="s" s="70">
        <v>422</v>
      </c>
      <c r="D13" t="s" s="71">
        <v>423</v>
      </c>
      <c r="E13" t="s" s="72">
        <v>43</v>
      </c>
      <c r="F13" s="82"/>
      <c r="G13" t="s" s="83">
        <v>43</v>
      </c>
      <c r="H13" t="s" s="83">
        <v>161</v>
      </c>
      <c r="I13" t="s" s="232">
        <v>43</v>
      </c>
      <c r="J13" t="s" s="227">
        <v>43</v>
      </c>
      <c r="K13" t="s" s="211">
        <v>43</v>
      </c>
      <c r="L13" s="79">
        <v>10</v>
      </c>
      <c r="M13" s="163">
        <v>9</v>
      </c>
      <c r="N13" s="165">
        <v>10</v>
      </c>
      <c r="O13" s="79">
        <v>0</v>
      </c>
      <c r="P13" s="75"/>
      <c r="Q13" s="75"/>
      <c r="R13" s="75"/>
      <c r="S13" s="79">
        <v>10</v>
      </c>
      <c r="T13" s="79">
        <v>10</v>
      </c>
      <c r="U13" s="79">
        <v>0</v>
      </c>
      <c r="V13" s="233">
        <f>L13+M13+N13+O13+P13+Q13+R13+S13+T13+U13</f>
        <v>49</v>
      </c>
      <c r="W13" s="75"/>
      <c r="X13" s="163">
        <v>8</v>
      </c>
      <c r="Y13" s="165">
        <v>10</v>
      </c>
      <c r="Z13" s="163">
        <v>9</v>
      </c>
      <c r="AA13" s="165">
        <v>10</v>
      </c>
      <c r="AB13" s="79">
        <v>18</v>
      </c>
      <c r="AC13" s="110">
        <v>15</v>
      </c>
      <c r="AD13" s="79">
        <v>0</v>
      </c>
      <c r="AE13" s="110">
        <v>4</v>
      </c>
      <c r="AF13" s="79">
        <v>4</v>
      </c>
      <c r="AG13" s="79">
        <v>12</v>
      </c>
      <c r="AH13" s="111">
        <f>Y13+Z13+AA13+AB13+AC13+AD13+AE13+AF13+AG13+X13</f>
        <v>90</v>
      </c>
      <c r="AI13" s="76"/>
      <c r="AJ13" s="78">
        <v>9</v>
      </c>
      <c r="AK13" s="110">
        <v>10</v>
      </c>
      <c r="AL13" s="79">
        <v>18</v>
      </c>
      <c r="AM13" s="110">
        <v>20</v>
      </c>
      <c r="AN13" s="79">
        <v>8</v>
      </c>
      <c r="AO13" s="79">
        <v>14</v>
      </c>
      <c r="AP13" s="110">
        <v>9</v>
      </c>
      <c r="AQ13" s="79">
        <v>4</v>
      </c>
      <c r="AR13" s="110">
        <v>10</v>
      </c>
      <c r="AS13" s="79">
        <f>SUM(AK13:AR13)</f>
        <v>93</v>
      </c>
      <c r="AT13" s="18"/>
      <c r="AU13" s="78">
        <v>9</v>
      </c>
      <c r="AV13" s="110">
        <f>AS13+0</f>
        <v>93</v>
      </c>
      <c r="AW13" s="75"/>
      <c r="AX13" s="18"/>
      <c r="AY13" s="110">
        <f>AH13</f>
        <v>90</v>
      </c>
      <c r="AZ13" s="75"/>
      <c r="BA13" s="18"/>
      <c r="BB13" s="110">
        <f>V13</f>
        <v>49</v>
      </c>
      <c r="BC13" s="75"/>
      <c r="BD13" s="18"/>
      <c r="BE13" s="76"/>
      <c r="BF13" s="75"/>
      <c r="BG13" s="18"/>
      <c r="BH13" s="78">
        <v>9</v>
      </c>
      <c r="BI13" s="110">
        <f>AS13-1</f>
        <v>92</v>
      </c>
      <c r="BJ13" s="75"/>
      <c r="BK13" s="18"/>
      <c r="BL13" s="110">
        <f>AH13-1</f>
        <v>89</v>
      </c>
      <c r="BM13" s="75"/>
      <c r="BN13" s="18"/>
      <c r="BO13" s="110">
        <f>V13-1</f>
        <v>48</v>
      </c>
      <c r="BP13" s="75"/>
      <c r="BQ13" s="18"/>
      <c r="BR13" s="76"/>
      <c r="BS13" s="75"/>
      <c r="BT13" s="18"/>
      <c r="BU13" s="78">
        <v>9</v>
      </c>
      <c r="BV13" s="110">
        <f>AS13+2</f>
        <v>95</v>
      </c>
      <c r="BW13" s="75"/>
      <c r="BX13" s="18"/>
      <c r="BY13" s="110">
        <f>AH13+2</f>
        <v>92</v>
      </c>
      <c r="BZ13" s="75"/>
      <c r="CA13" s="18"/>
      <c r="CB13" s="110">
        <f>V13+2</f>
        <v>51</v>
      </c>
      <c r="CC13" s="75"/>
      <c r="CD13" s="18"/>
      <c r="CE13" s="76"/>
      <c r="CF13" s="75"/>
      <c r="CG13" s="18"/>
      <c r="CH13" s="78">
        <v>9</v>
      </c>
      <c r="CI13" s="110">
        <f>AS13+1</f>
        <v>94</v>
      </c>
      <c r="CJ13" s="75"/>
      <c r="CK13" s="18"/>
      <c r="CL13" s="110">
        <f>AH13+1</f>
        <v>91</v>
      </c>
      <c r="CM13" s="75"/>
      <c r="CN13" s="18"/>
      <c r="CO13" s="110">
        <f>V13+1</f>
        <v>50</v>
      </c>
      <c r="CP13" s="75"/>
      <c r="CQ13" s="18"/>
      <c r="CR13" s="76"/>
      <c r="CS13" s="75"/>
      <c r="CT13" s="18"/>
      <c r="CU13" s="78">
        <v>9</v>
      </c>
      <c r="CV13" s="79">
        <f>(AV13+AY13+BB13+BE13)/4</f>
        <v>58</v>
      </c>
      <c r="CW13" s="79">
        <f>(BI13+BL13+BO13+BR13)/4</f>
        <v>57.25</v>
      </c>
      <c r="CX13" s="79">
        <f>(BV13+BY13+CB13+CE13)/4</f>
        <v>59.5</v>
      </c>
      <c r="CY13" s="79">
        <f>(CI13+CL13+CO13+CR13)/4</f>
        <v>58.75</v>
      </c>
      <c r="CZ13" s="18"/>
      <c r="DA13" s="80">
        <f>SUM(CV13:CY13)/4</f>
        <v>58.375</v>
      </c>
      <c r="DB13" s="18"/>
      <c r="DC13" s="79">
        <f>DA13*0.5</f>
        <v>29.1875</v>
      </c>
      <c r="DD13" s="75"/>
      <c r="DE13" s="79">
        <f>DD13*0.5</f>
        <v>0</v>
      </c>
      <c r="DF13" s="81">
        <f>DE13+DC13</f>
        <v>29.1875</v>
      </c>
      <c r="DG13" s="18"/>
      <c r="DH13" s="79">
        <f>DA13*0.3</f>
        <v>17.5125</v>
      </c>
      <c r="DI13" s="75"/>
      <c r="DJ13" s="79">
        <f>DI13*0.7</f>
        <v>0</v>
      </c>
      <c r="DK13" s="81">
        <f>DJ13+DH13</f>
        <v>17.5125</v>
      </c>
    </row>
    <row r="14" ht="26.25" customHeight="1">
      <c r="A14" s="68"/>
      <c r="B14" s="69">
        <v>10</v>
      </c>
      <c r="C14" t="s" s="70">
        <v>192</v>
      </c>
      <c r="D14" t="s" s="71">
        <v>424</v>
      </c>
      <c r="E14" t="s" s="72">
        <v>43</v>
      </c>
      <c r="F14" s="82"/>
      <c r="G14" t="s" s="83">
        <v>161</v>
      </c>
      <c r="H14" t="s" s="83">
        <v>161</v>
      </c>
      <c r="I14" t="s" s="72">
        <v>161</v>
      </c>
      <c r="J14" t="s" s="227">
        <v>43</v>
      </c>
      <c r="K14" t="s" s="211">
        <v>43</v>
      </c>
      <c r="L14" s="79">
        <v>8</v>
      </c>
      <c r="M14" s="163">
        <v>8</v>
      </c>
      <c r="N14" s="165">
        <v>10</v>
      </c>
      <c r="O14" s="79">
        <v>37</v>
      </c>
      <c r="P14" s="75"/>
      <c r="Q14" s="75"/>
      <c r="R14" s="75"/>
      <c r="S14" s="79">
        <v>7</v>
      </c>
      <c r="T14" s="79">
        <v>20</v>
      </c>
      <c r="U14" s="79">
        <v>0</v>
      </c>
      <c r="V14" s="233">
        <f>L14+M14+N14+O14+P14+Q14+R14+S14+T14+U14</f>
        <v>90</v>
      </c>
      <c r="W14" s="75"/>
      <c r="X14" s="163">
        <v>5</v>
      </c>
      <c r="Y14" s="165">
        <v>7</v>
      </c>
      <c r="Z14" s="163">
        <v>8</v>
      </c>
      <c r="AA14" s="165">
        <v>10</v>
      </c>
      <c r="AB14" s="79">
        <v>15</v>
      </c>
      <c r="AC14" s="110">
        <v>5</v>
      </c>
      <c r="AD14" s="79">
        <v>5</v>
      </c>
      <c r="AE14" s="110">
        <v>4</v>
      </c>
      <c r="AF14" s="79">
        <v>4</v>
      </c>
      <c r="AG14" s="79">
        <v>12</v>
      </c>
      <c r="AH14" s="143">
        <f>Y14+Z14+AA14+AB14+AC14+AD14+AE14+AF14+AG14+X14</f>
        <v>75</v>
      </c>
      <c r="AI14" t="s" s="130">
        <v>187</v>
      </c>
      <c r="AJ14" s="78">
        <v>10</v>
      </c>
      <c r="AK14" s="110">
        <v>10</v>
      </c>
      <c r="AL14" s="79">
        <v>18</v>
      </c>
      <c r="AM14" s="110">
        <v>20</v>
      </c>
      <c r="AN14" s="79">
        <v>10</v>
      </c>
      <c r="AO14" s="79">
        <v>15</v>
      </c>
      <c r="AP14" s="110">
        <v>9</v>
      </c>
      <c r="AQ14" s="79">
        <v>5</v>
      </c>
      <c r="AR14" s="110">
        <v>10</v>
      </c>
      <c r="AS14" s="79">
        <f>SUM(AK14:AR14)</f>
        <v>97</v>
      </c>
      <c r="AT14" s="18"/>
      <c r="AU14" s="78">
        <v>10</v>
      </c>
      <c r="AV14" s="110">
        <f>AS14+0</f>
        <v>97</v>
      </c>
      <c r="AW14" s="75"/>
      <c r="AX14" s="18"/>
      <c r="AY14" s="110">
        <f>AH14</f>
        <v>75</v>
      </c>
      <c r="AZ14" s="75"/>
      <c r="BA14" s="18"/>
      <c r="BB14" s="110">
        <f>V14</f>
        <v>90</v>
      </c>
      <c r="BC14" s="75"/>
      <c r="BD14" s="18"/>
      <c r="BE14" s="76"/>
      <c r="BF14" s="75"/>
      <c r="BG14" s="18"/>
      <c r="BH14" s="78">
        <v>10</v>
      </c>
      <c r="BI14" s="110">
        <f>AS14-1</f>
        <v>96</v>
      </c>
      <c r="BJ14" s="75"/>
      <c r="BK14" s="18"/>
      <c r="BL14" s="110">
        <f>AH14-1</f>
        <v>74</v>
      </c>
      <c r="BM14" s="75"/>
      <c r="BN14" s="18"/>
      <c r="BO14" s="110">
        <f>V14-1</f>
        <v>89</v>
      </c>
      <c r="BP14" s="75"/>
      <c r="BQ14" s="18"/>
      <c r="BR14" s="76"/>
      <c r="BS14" s="75"/>
      <c r="BT14" s="18"/>
      <c r="BU14" s="78">
        <v>10</v>
      </c>
      <c r="BV14" s="110">
        <f>AS14+2</f>
        <v>99</v>
      </c>
      <c r="BW14" s="75"/>
      <c r="BX14" s="18"/>
      <c r="BY14" s="110">
        <f>AH14+2</f>
        <v>77</v>
      </c>
      <c r="BZ14" s="75"/>
      <c r="CA14" s="18"/>
      <c r="CB14" s="110">
        <f>V14+2</f>
        <v>92</v>
      </c>
      <c r="CC14" s="75"/>
      <c r="CD14" s="18"/>
      <c r="CE14" s="76"/>
      <c r="CF14" s="75"/>
      <c r="CG14" s="18"/>
      <c r="CH14" s="78">
        <v>10</v>
      </c>
      <c r="CI14" s="110">
        <f>AS14+1</f>
        <v>98</v>
      </c>
      <c r="CJ14" s="75"/>
      <c r="CK14" s="18"/>
      <c r="CL14" s="110">
        <f>AH14+1</f>
        <v>76</v>
      </c>
      <c r="CM14" s="75"/>
      <c r="CN14" s="18"/>
      <c r="CO14" s="110">
        <f>V14+1</f>
        <v>91</v>
      </c>
      <c r="CP14" s="75"/>
      <c r="CQ14" s="18"/>
      <c r="CR14" s="76"/>
      <c r="CS14" s="75"/>
      <c r="CT14" s="18"/>
      <c r="CU14" s="78">
        <v>10</v>
      </c>
      <c r="CV14" s="79">
        <f>(AV14+AY14+BB14+BE14)/4</f>
        <v>65.5</v>
      </c>
      <c r="CW14" s="79">
        <f>(BI14+BL14+BO14+BR14)/4</f>
        <v>64.75</v>
      </c>
      <c r="CX14" s="79">
        <f>(BV14+BY14+CB14+CE14)/4</f>
        <v>67</v>
      </c>
      <c r="CY14" s="79">
        <f>(CI14+CL14+CO14+CR14)/4</f>
        <v>66.25</v>
      </c>
      <c r="CZ14" s="18"/>
      <c r="DA14" s="80">
        <f>SUM(CV14:CY14)/4</f>
        <v>65.875</v>
      </c>
      <c r="DB14" s="18"/>
      <c r="DC14" s="79">
        <f>DA14*0.5</f>
        <v>32.9375</v>
      </c>
      <c r="DD14" s="75"/>
      <c r="DE14" s="79">
        <f>DD14*0.5</f>
        <v>0</v>
      </c>
      <c r="DF14" s="81">
        <f>DE14+DC14</f>
        <v>32.9375</v>
      </c>
      <c r="DG14" s="18"/>
      <c r="DH14" s="79">
        <f>DA14*0.3</f>
        <v>19.7625</v>
      </c>
      <c r="DI14" s="75"/>
      <c r="DJ14" s="79">
        <f>DI14*0.7</f>
        <v>0</v>
      </c>
      <c r="DK14" s="81">
        <f>DJ14+DH14</f>
        <v>19.7625</v>
      </c>
    </row>
    <row r="15" ht="26.25" customHeight="1">
      <c r="A15" s="68"/>
      <c r="B15" s="69">
        <v>11</v>
      </c>
      <c r="C15" t="s" s="70">
        <v>425</v>
      </c>
      <c r="D15" t="s" s="71">
        <v>426</v>
      </c>
      <c r="E15" t="s" s="72">
        <v>43</v>
      </c>
      <c r="F15" s="82"/>
      <c r="G15" t="s" s="83">
        <v>161</v>
      </c>
      <c r="H15" t="s" s="83">
        <v>161</v>
      </c>
      <c r="I15" t="s" s="72">
        <v>43</v>
      </c>
      <c r="J15" t="s" s="227">
        <v>43</v>
      </c>
      <c r="K15" t="s" s="211">
        <v>43</v>
      </c>
      <c r="L15" s="79">
        <v>10</v>
      </c>
      <c r="M15" s="163">
        <v>8</v>
      </c>
      <c r="N15" s="165">
        <v>10</v>
      </c>
      <c r="O15" s="79">
        <v>8</v>
      </c>
      <c r="P15" s="79">
        <v>10</v>
      </c>
      <c r="Q15" s="79">
        <v>10</v>
      </c>
      <c r="R15" s="79">
        <v>10</v>
      </c>
      <c r="S15" s="79">
        <v>10</v>
      </c>
      <c r="T15" s="79">
        <v>20</v>
      </c>
      <c r="U15" s="79">
        <v>10</v>
      </c>
      <c r="V15" s="233">
        <f>L15+M15+N15+O15+P15+Q15+R15+S15+T15+U15</f>
        <v>106</v>
      </c>
      <c r="W15" s="75"/>
      <c r="X15" s="163">
        <v>10</v>
      </c>
      <c r="Y15" s="165">
        <v>8</v>
      </c>
      <c r="Z15" s="163">
        <v>8</v>
      </c>
      <c r="AA15" s="165">
        <v>10</v>
      </c>
      <c r="AB15" s="79">
        <v>19</v>
      </c>
      <c r="AC15" s="110">
        <v>15</v>
      </c>
      <c r="AD15" s="79">
        <v>0</v>
      </c>
      <c r="AE15" s="110">
        <v>5</v>
      </c>
      <c r="AF15" s="79">
        <v>5</v>
      </c>
      <c r="AG15" s="79">
        <v>12</v>
      </c>
      <c r="AH15" s="111">
        <f>Y15+Z15+AA15+AB15+AC15+AD15+AE15+AF15+AG15+X15</f>
        <v>92</v>
      </c>
      <c r="AI15" s="76"/>
      <c r="AJ15" s="78">
        <v>11</v>
      </c>
      <c r="AK15" s="110">
        <v>10</v>
      </c>
      <c r="AL15" s="79">
        <v>18</v>
      </c>
      <c r="AM15" s="110">
        <v>20</v>
      </c>
      <c r="AN15" s="79">
        <v>10</v>
      </c>
      <c r="AO15" s="79">
        <v>11</v>
      </c>
      <c r="AP15" s="110">
        <v>9</v>
      </c>
      <c r="AQ15" s="79">
        <v>0</v>
      </c>
      <c r="AR15" s="110">
        <v>10</v>
      </c>
      <c r="AS15" s="79">
        <f>SUM(AK15:AR15)</f>
        <v>88</v>
      </c>
      <c r="AT15" s="18"/>
      <c r="AU15" s="78">
        <v>11</v>
      </c>
      <c r="AV15" s="110">
        <f>AS15+0</f>
        <v>88</v>
      </c>
      <c r="AW15" s="75"/>
      <c r="AX15" s="18"/>
      <c r="AY15" s="110">
        <f>AH15</f>
        <v>92</v>
      </c>
      <c r="AZ15" s="75"/>
      <c r="BA15" s="18"/>
      <c r="BB15" s="110">
        <v>100</v>
      </c>
      <c r="BC15" s="75"/>
      <c r="BD15" s="18"/>
      <c r="BE15" s="76"/>
      <c r="BF15" s="75"/>
      <c r="BG15" s="18"/>
      <c r="BH15" s="78">
        <v>11</v>
      </c>
      <c r="BI15" s="110">
        <f>AS15-1</f>
        <v>87</v>
      </c>
      <c r="BJ15" s="75"/>
      <c r="BK15" s="18"/>
      <c r="BL15" s="110">
        <f>AH15-1</f>
        <v>91</v>
      </c>
      <c r="BM15" s="75"/>
      <c r="BN15" s="18"/>
      <c r="BO15" s="110">
        <v>100</v>
      </c>
      <c r="BP15" s="75"/>
      <c r="BQ15" s="18"/>
      <c r="BR15" s="76"/>
      <c r="BS15" s="75"/>
      <c r="BT15" s="18"/>
      <c r="BU15" s="78">
        <v>11</v>
      </c>
      <c r="BV15" s="110">
        <f>AS15+2</f>
        <v>90</v>
      </c>
      <c r="BW15" s="75"/>
      <c r="BX15" s="18"/>
      <c r="BY15" s="110">
        <f>AH15+2</f>
        <v>94</v>
      </c>
      <c r="BZ15" s="75"/>
      <c r="CA15" s="18"/>
      <c r="CB15" s="110">
        <v>100</v>
      </c>
      <c r="CC15" s="75"/>
      <c r="CD15" s="18"/>
      <c r="CE15" s="76"/>
      <c r="CF15" s="75"/>
      <c r="CG15" s="18"/>
      <c r="CH15" s="78">
        <v>11</v>
      </c>
      <c r="CI15" s="110">
        <f>AS15+1</f>
        <v>89</v>
      </c>
      <c r="CJ15" s="75"/>
      <c r="CK15" s="18"/>
      <c r="CL15" s="110">
        <f>AH15+1</f>
        <v>93</v>
      </c>
      <c r="CM15" s="75"/>
      <c r="CN15" s="18"/>
      <c r="CO15" s="110">
        <v>100</v>
      </c>
      <c r="CP15" s="75"/>
      <c r="CQ15" s="18"/>
      <c r="CR15" s="76"/>
      <c r="CS15" s="75"/>
      <c r="CT15" s="18"/>
      <c r="CU15" s="78">
        <v>11</v>
      </c>
      <c r="CV15" s="79">
        <f>(AV15+AY15+BB15+BE15)/4</f>
        <v>70</v>
      </c>
      <c r="CW15" s="79">
        <f>(BI15+BL15+BO15+BR15)/4</f>
        <v>69.5</v>
      </c>
      <c r="CX15" s="79">
        <f>(BV15+BY15+CB15+CE15)/4</f>
        <v>71</v>
      </c>
      <c r="CY15" s="79">
        <f>(CI15+CL15+CO15+CR15)/4</f>
        <v>70.5</v>
      </c>
      <c r="CZ15" s="18"/>
      <c r="DA15" s="80">
        <f>SUM(CV15:CY15)/4</f>
        <v>70.25</v>
      </c>
      <c r="DB15" s="18"/>
      <c r="DC15" s="79">
        <f>DA15*0.5</f>
        <v>35.125</v>
      </c>
      <c r="DD15" s="75"/>
      <c r="DE15" s="79">
        <f>DD15*0.5</f>
        <v>0</v>
      </c>
      <c r="DF15" s="81">
        <f>DE15+DC15</f>
        <v>35.125</v>
      </c>
      <c r="DG15" s="18"/>
      <c r="DH15" s="79">
        <f>DA15*0.3</f>
        <v>21.075</v>
      </c>
      <c r="DI15" s="75"/>
      <c r="DJ15" s="79">
        <f>DI15*0.7</f>
        <v>0</v>
      </c>
      <c r="DK15" s="81">
        <f>DJ15+DH15</f>
        <v>21.075</v>
      </c>
    </row>
    <row r="16" ht="26.25" customHeight="1">
      <c r="A16" s="68"/>
      <c r="B16" s="69">
        <v>12</v>
      </c>
      <c r="C16" t="s" s="70">
        <v>427</v>
      </c>
      <c r="D16" t="s" s="71">
        <v>428</v>
      </c>
      <c r="E16" t="s" s="72">
        <v>43</v>
      </c>
      <c r="F16" s="82"/>
      <c r="G16" t="s" s="83">
        <v>43</v>
      </c>
      <c r="H16" t="s" s="83">
        <v>161</v>
      </c>
      <c r="I16" t="s" s="72">
        <v>43</v>
      </c>
      <c r="J16" t="s" s="227">
        <v>163</v>
      </c>
      <c r="K16" t="s" s="211">
        <v>43</v>
      </c>
      <c r="L16" s="79">
        <v>8</v>
      </c>
      <c r="M16" s="163">
        <v>10</v>
      </c>
      <c r="N16" s="165">
        <v>10</v>
      </c>
      <c r="O16" s="79">
        <v>7</v>
      </c>
      <c r="P16" s="79">
        <v>9</v>
      </c>
      <c r="Q16" s="79">
        <v>8.5</v>
      </c>
      <c r="R16" s="79">
        <v>9</v>
      </c>
      <c r="S16" s="79">
        <v>10</v>
      </c>
      <c r="T16" s="79">
        <v>18</v>
      </c>
      <c r="U16" s="79">
        <v>10</v>
      </c>
      <c r="V16" s="233">
        <f>L16+M16+N16+O16+P16+Q16+R16+S16+T16+U16</f>
        <v>99.5</v>
      </c>
      <c r="W16" s="75"/>
      <c r="X16" s="163">
        <v>5</v>
      </c>
      <c r="Y16" s="165">
        <v>10</v>
      </c>
      <c r="Z16" s="163">
        <v>10</v>
      </c>
      <c r="AA16" s="165">
        <v>10</v>
      </c>
      <c r="AB16" s="79">
        <v>20</v>
      </c>
      <c r="AC16" s="110">
        <v>15</v>
      </c>
      <c r="AD16" s="79">
        <v>5</v>
      </c>
      <c r="AE16" s="110">
        <v>5</v>
      </c>
      <c r="AF16" s="79">
        <v>5</v>
      </c>
      <c r="AG16" s="79">
        <v>12</v>
      </c>
      <c r="AH16" s="111">
        <f>Y16+Z16+AA16+AB16+AC16+AD16+AE16+AF16+AG16+X16</f>
        <v>97</v>
      </c>
      <c r="AI16" s="76"/>
      <c r="AJ16" s="78">
        <v>12</v>
      </c>
      <c r="AK16" s="110">
        <v>10</v>
      </c>
      <c r="AL16" s="79">
        <v>18</v>
      </c>
      <c r="AM16" s="110">
        <v>20</v>
      </c>
      <c r="AN16" s="79">
        <v>10</v>
      </c>
      <c r="AO16" s="145">
        <v>0</v>
      </c>
      <c r="AP16" s="110">
        <v>10</v>
      </c>
      <c r="AQ16" s="79">
        <v>0</v>
      </c>
      <c r="AR16" s="110">
        <v>10</v>
      </c>
      <c r="AS16" s="79">
        <f>SUM(AK16:AR16)</f>
        <v>78</v>
      </c>
      <c r="AT16" s="18"/>
      <c r="AU16" s="78">
        <v>12</v>
      </c>
      <c r="AV16" s="142">
        <f>AS16+0</f>
        <v>78</v>
      </c>
      <c r="AW16" s="75"/>
      <c r="AX16" s="18"/>
      <c r="AY16" s="110">
        <f>AH16</f>
        <v>97</v>
      </c>
      <c r="AZ16" s="75"/>
      <c r="BA16" s="18"/>
      <c r="BB16" s="110">
        <v>100</v>
      </c>
      <c r="BC16" s="75"/>
      <c r="BD16" s="18"/>
      <c r="BE16" s="76"/>
      <c r="BF16" s="75"/>
      <c r="BG16" s="18"/>
      <c r="BH16" s="78">
        <v>12</v>
      </c>
      <c r="BI16" s="110">
        <f>AS16-1</f>
        <v>77</v>
      </c>
      <c r="BJ16" s="75"/>
      <c r="BK16" s="18"/>
      <c r="BL16" s="110">
        <f>AH16-1</f>
        <v>96</v>
      </c>
      <c r="BM16" s="75"/>
      <c r="BN16" s="18"/>
      <c r="BO16" s="110">
        <v>99</v>
      </c>
      <c r="BP16" s="75"/>
      <c r="BQ16" s="18"/>
      <c r="BR16" s="76"/>
      <c r="BS16" s="75"/>
      <c r="BT16" s="18"/>
      <c r="BU16" s="78">
        <v>12</v>
      </c>
      <c r="BV16" s="110">
        <f>AS16+2</f>
        <v>80</v>
      </c>
      <c r="BW16" s="75"/>
      <c r="BX16" s="18"/>
      <c r="BY16" s="110">
        <f>AH16+2</f>
        <v>99</v>
      </c>
      <c r="BZ16" s="75"/>
      <c r="CA16" s="18"/>
      <c r="CB16" s="110">
        <v>100</v>
      </c>
      <c r="CC16" s="75"/>
      <c r="CD16" s="18"/>
      <c r="CE16" s="76"/>
      <c r="CF16" s="75"/>
      <c r="CG16" s="18"/>
      <c r="CH16" s="78">
        <v>12</v>
      </c>
      <c r="CI16" s="110">
        <f>AS16+1</f>
        <v>79</v>
      </c>
      <c r="CJ16" s="75"/>
      <c r="CK16" s="18"/>
      <c r="CL16" s="110">
        <f>AH16+1</f>
        <v>98</v>
      </c>
      <c r="CM16" s="75"/>
      <c r="CN16" s="18"/>
      <c r="CO16" s="110">
        <v>100</v>
      </c>
      <c r="CP16" s="75"/>
      <c r="CQ16" s="18"/>
      <c r="CR16" s="76"/>
      <c r="CS16" s="75"/>
      <c r="CT16" s="18"/>
      <c r="CU16" s="78">
        <v>12</v>
      </c>
      <c r="CV16" s="79">
        <f>(AV16+AY16+BB16+BE16)/4</f>
        <v>68.75</v>
      </c>
      <c r="CW16" s="79">
        <f>(BI16+BL16+BO16+BR16)/4</f>
        <v>68</v>
      </c>
      <c r="CX16" s="79">
        <f>(BV16+BY16+CB16+CE16)/4</f>
        <v>69.75</v>
      </c>
      <c r="CY16" s="79">
        <f>(CI16+CL16+CO16+CR16)/4</f>
        <v>69.25</v>
      </c>
      <c r="CZ16" s="18"/>
      <c r="DA16" s="80">
        <f>SUM(CV16:CY16)/4</f>
        <v>68.9375</v>
      </c>
      <c r="DB16" s="18"/>
      <c r="DC16" s="79">
        <f>DA16*0.5</f>
        <v>34.46875</v>
      </c>
      <c r="DD16" s="75"/>
      <c r="DE16" s="79">
        <f>DD16*0.5</f>
        <v>0</v>
      </c>
      <c r="DF16" s="81">
        <f>DE16+DC16</f>
        <v>34.46875</v>
      </c>
      <c r="DG16" s="18"/>
      <c r="DH16" s="79">
        <f>DA16*0.3</f>
        <v>20.68125</v>
      </c>
      <c r="DI16" s="75"/>
      <c r="DJ16" s="79">
        <f>DI16*0.7</f>
        <v>0</v>
      </c>
      <c r="DK16" s="81">
        <f>DJ16+DH16</f>
        <v>20.68125</v>
      </c>
    </row>
    <row r="17" ht="26.25" customHeight="1">
      <c r="A17" s="68"/>
      <c r="B17" s="69">
        <v>13</v>
      </c>
      <c r="C17" t="s" s="70">
        <v>429</v>
      </c>
      <c r="D17" t="s" s="71">
        <v>430</v>
      </c>
      <c r="E17" t="s" s="72">
        <v>43</v>
      </c>
      <c r="F17" t="s" s="113">
        <v>161</v>
      </c>
      <c r="G17" t="s" s="83">
        <v>43</v>
      </c>
      <c r="H17" t="s" s="83">
        <v>161</v>
      </c>
      <c r="I17" t="s" s="72">
        <v>161</v>
      </c>
      <c r="J17" t="s" s="227">
        <v>43</v>
      </c>
      <c r="K17" t="s" s="211">
        <v>43</v>
      </c>
      <c r="L17" s="79">
        <v>6</v>
      </c>
      <c r="M17" s="163">
        <v>10</v>
      </c>
      <c r="N17" s="165">
        <v>10</v>
      </c>
      <c r="O17" s="79">
        <v>37</v>
      </c>
      <c r="P17" s="75"/>
      <c r="Q17" s="75"/>
      <c r="R17" s="75"/>
      <c r="S17" s="79">
        <v>10</v>
      </c>
      <c r="T17" s="79">
        <v>17</v>
      </c>
      <c r="U17" s="79">
        <v>0</v>
      </c>
      <c r="V17" s="233">
        <f>L17+M17+N17+O17+P17+Q17+R17+S17+T17+U17</f>
        <v>90</v>
      </c>
      <c r="W17" s="75"/>
      <c r="X17" s="163">
        <v>10</v>
      </c>
      <c r="Y17" s="165">
        <v>10</v>
      </c>
      <c r="Z17" s="163">
        <v>10</v>
      </c>
      <c r="AA17" s="165">
        <v>10</v>
      </c>
      <c r="AB17" s="79">
        <v>20</v>
      </c>
      <c r="AC17" s="110">
        <v>15</v>
      </c>
      <c r="AD17" s="79">
        <v>0</v>
      </c>
      <c r="AE17" s="110">
        <v>5</v>
      </c>
      <c r="AF17" s="79">
        <v>5</v>
      </c>
      <c r="AG17" s="79">
        <v>12</v>
      </c>
      <c r="AH17" s="111">
        <f>Y17+Z17+AA17+AB17+AC17+AD17+AE17+AF17+AG17+X17</f>
        <v>97</v>
      </c>
      <c r="AI17" s="76"/>
      <c r="AJ17" s="78">
        <v>13</v>
      </c>
      <c r="AK17" s="110">
        <v>10</v>
      </c>
      <c r="AL17" s="79">
        <v>20</v>
      </c>
      <c r="AM17" s="110">
        <v>20</v>
      </c>
      <c r="AN17" s="79">
        <v>10</v>
      </c>
      <c r="AO17" s="79">
        <v>15</v>
      </c>
      <c r="AP17" s="110">
        <v>10</v>
      </c>
      <c r="AQ17" s="79">
        <v>5</v>
      </c>
      <c r="AR17" s="110">
        <v>10</v>
      </c>
      <c r="AS17" s="79">
        <f>SUM(AK17:AR17)</f>
        <v>100</v>
      </c>
      <c r="AT17" s="18"/>
      <c r="AU17" s="78">
        <v>13</v>
      </c>
      <c r="AV17" s="110">
        <f>AS17+0</f>
        <v>100</v>
      </c>
      <c r="AW17" s="75"/>
      <c r="AX17" s="18"/>
      <c r="AY17" s="110">
        <f>AH17</f>
        <v>97</v>
      </c>
      <c r="AZ17" s="75"/>
      <c r="BA17" s="18"/>
      <c r="BB17" s="110">
        <f>V17</f>
        <v>90</v>
      </c>
      <c r="BC17" s="75"/>
      <c r="BD17" s="18"/>
      <c r="BE17" s="76"/>
      <c r="BF17" s="75"/>
      <c r="BG17" s="18"/>
      <c r="BH17" s="78">
        <v>13</v>
      </c>
      <c r="BI17" s="110">
        <f>AS17-1</f>
        <v>99</v>
      </c>
      <c r="BJ17" s="75"/>
      <c r="BK17" s="18"/>
      <c r="BL17" s="110">
        <f>AH17-1</f>
        <v>96</v>
      </c>
      <c r="BM17" s="75"/>
      <c r="BN17" s="18"/>
      <c r="BO17" s="110">
        <f>V17-1</f>
        <v>89</v>
      </c>
      <c r="BP17" s="75"/>
      <c r="BQ17" s="18"/>
      <c r="BR17" s="76"/>
      <c r="BS17" s="75"/>
      <c r="BT17" s="18"/>
      <c r="BU17" s="78">
        <v>13</v>
      </c>
      <c r="BV17" s="110">
        <v>100</v>
      </c>
      <c r="BW17" s="75"/>
      <c r="BX17" s="18"/>
      <c r="BY17" s="110">
        <f>AH17+2</f>
        <v>99</v>
      </c>
      <c r="BZ17" s="75"/>
      <c r="CA17" s="18"/>
      <c r="CB17" s="110">
        <f>V17+2</f>
        <v>92</v>
      </c>
      <c r="CC17" s="75"/>
      <c r="CD17" s="18"/>
      <c r="CE17" s="76"/>
      <c r="CF17" s="75"/>
      <c r="CG17" s="18"/>
      <c r="CH17" s="78">
        <v>13</v>
      </c>
      <c r="CI17" s="110">
        <v>100</v>
      </c>
      <c r="CJ17" s="75"/>
      <c r="CK17" s="18"/>
      <c r="CL17" s="110">
        <f>AH17+1</f>
        <v>98</v>
      </c>
      <c r="CM17" s="75"/>
      <c r="CN17" s="18"/>
      <c r="CO17" s="110">
        <f>V17+1</f>
        <v>91</v>
      </c>
      <c r="CP17" s="75"/>
      <c r="CQ17" s="18"/>
      <c r="CR17" s="76"/>
      <c r="CS17" s="75"/>
      <c r="CT17" s="18"/>
      <c r="CU17" s="78">
        <v>13</v>
      </c>
      <c r="CV17" s="79">
        <f>(AV17+AY17+BB17+BE17)/4</f>
        <v>71.75</v>
      </c>
      <c r="CW17" s="79">
        <f>(BI17+BL17+BO17+BR17)/4</f>
        <v>71</v>
      </c>
      <c r="CX17" s="79">
        <f>(BV17+BY17+CB17+CE17)/4</f>
        <v>72.75</v>
      </c>
      <c r="CY17" s="79">
        <f>(CI17+CL17+CO17+CR17)/4</f>
        <v>72.25</v>
      </c>
      <c r="CZ17" s="18"/>
      <c r="DA17" s="80">
        <f>SUM(CV17:CY17)/4</f>
        <v>71.9375</v>
      </c>
      <c r="DB17" s="18"/>
      <c r="DC17" s="79">
        <f>DA17*0.5</f>
        <v>35.96875</v>
      </c>
      <c r="DD17" s="75"/>
      <c r="DE17" s="79">
        <f>DD17*0.5</f>
        <v>0</v>
      </c>
      <c r="DF17" s="81">
        <f>DE17+DC17</f>
        <v>35.96875</v>
      </c>
      <c r="DG17" s="18"/>
      <c r="DH17" s="79">
        <f>DA17*0.3</f>
        <v>21.58125</v>
      </c>
      <c r="DI17" s="75"/>
      <c r="DJ17" s="79">
        <f>DI17*0.7</f>
        <v>0</v>
      </c>
      <c r="DK17" s="81">
        <f>DJ17+DH17</f>
        <v>21.58125</v>
      </c>
    </row>
    <row r="18" ht="26.25" customHeight="1">
      <c r="A18" s="68"/>
      <c r="B18" s="69">
        <v>14</v>
      </c>
      <c r="C18" t="s" s="70">
        <v>431</v>
      </c>
      <c r="D18" t="s" s="71">
        <v>432</v>
      </c>
      <c r="E18" t="s" s="72">
        <v>43</v>
      </c>
      <c r="F18" s="82"/>
      <c r="G18" t="s" s="83">
        <v>43</v>
      </c>
      <c r="H18" t="s" s="83">
        <v>161</v>
      </c>
      <c r="I18" t="s" s="72">
        <v>43</v>
      </c>
      <c r="J18" t="s" s="227">
        <v>43</v>
      </c>
      <c r="K18" t="s" s="211">
        <v>43</v>
      </c>
      <c r="L18" s="79">
        <v>10</v>
      </c>
      <c r="M18" s="163">
        <v>10</v>
      </c>
      <c r="N18" s="165">
        <v>9</v>
      </c>
      <c r="O18" s="79">
        <v>7</v>
      </c>
      <c r="P18" s="79">
        <v>7</v>
      </c>
      <c r="Q18" s="79">
        <v>8</v>
      </c>
      <c r="R18" s="79">
        <v>7</v>
      </c>
      <c r="S18" s="79">
        <v>10</v>
      </c>
      <c r="T18" s="79">
        <v>10</v>
      </c>
      <c r="U18" s="79">
        <v>10</v>
      </c>
      <c r="V18" s="233">
        <f>L18+M18+N18+O18+P18+Q18+R18+S18+T18+U18</f>
        <v>88</v>
      </c>
      <c r="W18" s="75"/>
      <c r="X18" s="74"/>
      <c r="Y18" s="165">
        <v>10</v>
      </c>
      <c r="Z18" s="163">
        <v>10</v>
      </c>
      <c r="AA18" s="165">
        <v>9</v>
      </c>
      <c r="AB18" s="79">
        <v>20</v>
      </c>
      <c r="AC18" s="145">
        <v>15</v>
      </c>
      <c r="AD18" s="79">
        <v>5</v>
      </c>
      <c r="AE18" s="110">
        <v>5</v>
      </c>
      <c r="AF18" s="79">
        <v>5</v>
      </c>
      <c r="AG18" s="79">
        <v>12</v>
      </c>
      <c r="AH18" s="111">
        <f>Y18+Z18+AA18+AB18+AC18+AD18+AE18+AF18+AG18+X18</f>
        <v>91</v>
      </c>
      <c r="AI18" s="76"/>
      <c r="AJ18" s="78">
        <v>14</v>
      </c>
      <c r="AK18" s="110">
        <v>10</v>
      </c>
      <c r="AL18" s="79">
        <v>20</v>
      </c>
      <c r="AM18" s="110">
        <v>20</v>
      </c>
      <c r="AN18" s="79">
        <v>10</v>
      </c>
      <c r="AO18" s="79">
        <v>13</v>
      </c>
      <c r="AP18" s="110">
        <v>10</v>
      </c>
      <c r="AQ18" s="79">
        <v>2</v>
      </c>
      <c r="AR18" s="110">
        <v>10</v>
      </c>
      <c r="AS18" s="79">
        <f>SUM(AK18:AR18)</f>
        <v>95</v>
      </c>
      <c r="AT18" s="18"/>
      <c r="AU18" s="78">
        <v>14</v>
      </c>
      <c r="AV18" s="110">
        <f>AS18+0</f>
        <v>95</v>
      </c>
      <c r="AW18" s="75"/>
      <c r="AX18" s="18"/>
      <c r="AY18" s="110">
        <f>AH18</f>
        <v>91</v>
      </c>
      <c r="AZ18" s="75"/>
      <c r="BA18" s="18"/>
      <c r="BB18" s="110">
        <f>V18</f>
        <v>88</v>
      </c>
      <c r="BC18" s="75"/>
      <c r="BD18" s="18"/>
      <c r="BE18" s="76"/>
      <c r="BF18" s="75"/>
      <c r="BG18" s="18"/>
      <c r="BH18" s="78">
        <v>14</v>
      </c>
      <c r="BI18" s="110">
        <f>AS18-1</f>
        <v>94</v>
      </c>
      <c r="BJ18" s="75"/>
      <c r="BK18" s="18"/>
      <c r="BL18" s="110">
        <f>AH18-1</f>
        <v>90</v>
      </c>
      <c r="BM18" s="75"/>
      <c r="BN18" s="18"/>
      <c r="BO18" s="110">
        <f>V18-1</f>
        <v>87</v>
      </c>
      <c r="BP18" s="75"/>
      <c r="BQ18" s="18"/>
      <c r="BR18" s="76"/>
      <c r="BS18" s="75"/>
      <c r="BT18" s="18"/>
      <c r="BU18" s="78">
        <v>14</v>
      </c>
      <c r="BV18" s="110">
        <f>AS18+2</f>
        <v>97</v>
      </c>
      <c r="BW18" s="75"/>
      <c r="BX18" s="18"/>
      <c r="BY18" s="110">
        <f>AH18+2</f>
        <v>93</v>
      </c>
      <c r="BZ18" s="75"/>
      <c r="CA18" s="18"/>
      <c r="CB18" s="110">
        <f>V18+2</f>
        <v>90</v>
      </c>
      <c r="CC18" s="75"/>
      <c r="CD18" s="18"/>
      <c r="CE18" s="76"/>
      <c r="CF18" s="75"/>
      <c r="CG18" s="18"/>
      <c r="CH18" s="78">
        <v>14</v>
      </c>
      <c r="CI18" s="110">
        <f>AS18+1</f>
        <v>96</v>
      </c>
      <c r="CJ18" s="75"/>
      <c r="CK18" s="18"/>
      <c r="CL18" s="110">
        <f>AH18+1</f>
        <v>92</v>
      </c>
      <c r="CM18" s="75"/>
      <c r="CN18" s="18"/>
      <c r="CO18" s="110">
        <f>V18+1</f>
        <v>89</v>
      </c>
      <c r="CP18" s="75"/>
      <c r="CQ18" s="18"/>
      <c r="CR18" s="76"/>
      <c r="CS18" s="75"/>
      <c r="CT18" s="18"/>
      <c r="CU18" s="78">
        <v>14</v>
      </c>
      <c r="CV18" s="79">
        <f>(AV18+AY18+BB18+BE18)/4</f>
        <v>68.5</v>
      </c>
      <c r="CW18" s="79">
        <f>(BI18+BL18+BO18+BR18)/4</f>
        <v>67.75</v>
      </c>
      <c r="CX18" s="79">
        <f>(BV18+BY18+CB18+CE18)/4</f>
        <v>70</v>
      </c>
      <c r="CY18" s="79">
        <f>(CI18+CL18+CO18+CR18)/4</f>
        <v>69.25</v>
      </c>
      <c r="CZ18" s="18"/>
      <c r="DA18" s="80">
        <f>SUM(CV18:CY18)/4</f>
        <v>68.875</v>
      </c>
      <c r="DB18" s="18"/>
      <c r="DC18" s="79">
        <f>DA18*0.5</f>
        <v>34.4375</v>
      </c>
      <c r="DD18" s="75"/>
      <c r="DE18" s="79">
        <f>DD18*0.5</f>
        <v>0</v>
      </c>
      <c r="DF18" s="81">
        <f>DE18+DC18</f>
        <v>34.4375</v>
      </c>
      <c r="DG18" s="18"/>
      <c r="DH18" s="79">
        <f>DA18*0.3</f>
        <v>20.6625</v>
      </c>
      <c r="DI18" s="75"/>
      <c r="DJ18" s="79">
        <f>DI18*0.7</f>
        <v>0</v>
      </c>
      <c r="DK18" s="81">
        <f>DJ18+DH18</f>
        <v>20.6625</v>
      </c>
    </row>
    <row r="19" ht="26.25" customHeight="1">
      <c r="A19" s="68"/>
      <c r="B19" s="69">
        <v>15</v>
      </c>
      <c r="C19" t="s" s="70">
        <v>433</v>
      </c>
      <c r="D19" t="s" s="71">
        <v>434</v>
      </c>
      <c r="E19" t="s" s="72">
        <v>43</v>
      </c>
      <c r="F19" s="82"/>
      <c r="G19" s="75"/>
      <c r="H19" t="s" s="83">
        <v>161</v>
      </c>
      <c r="I19" t="s" s="72">
        <v>43</v>
      </c>
      <c r="J19" t="s" s="227">
        <v>43</v>
      </c>
      <c r="K19" t="s" s="211">
        <v>43</v>
      </c>
      <c r="L19" s="79">
        <v>8</v>
      </c>
      <c r="M19" s="163">
        <v>8</v>
      </c>
      <c r="N19" s="165">
        <v>10</v>
      </c>
      <c r="O19" s="79">
        <v>37</v>
      </c>
      <c r="P19" s="75"/>
      <c r="Q19" s="75"/>
      <c r="R19" s="75"/>
      <c r="S19" s="79">
        <v>10</v>
      </c>
      <c r="T19" s="79">
        <v>20</v>
      </c>
      <c r="U19" s="79">
        <v>10</v>
      </c>
      <c r="V19" s="233">
        <f>L19+M19+N19+O19+P19+Q19+R19+S19+T19+U19</f>
        <v>103</v>
      </c>
      <c r="W19" s="75"/>
      <c r="X19" s="74"/>
      <c r="Y19" s="165">
        <v>10</v>
      </c>
      <c r="Z19" s="163">
        <v>8</v>
      </c>
      <c r="AA19" s="165">
        <v>10</v>
      </c>
      <c r="AB19" s="79">
        <v>20</v>
      </c>
      <c r="AC19" s="123">
        <v>15</v>
      </c>
      <c r="AD19" s="79">
        <v>5</v>
      </c>
      <c r="AE19" s="110">
        <v>5</v>
      </c>
      <c r="AF19" s="79">
        <v>5</v>
      </c>
      <c r="AG19" s="79">
        <v>12</v>
      </c>
      <c r="AH19" s="111">
        <f>Y19+Z19+AA19+AB19+AC19+AD19+AE19+AF19+AG19+X19</f>
        <v>90</v>
      </c>
      <c r="AI19" s="76"/>
      <c r="AJ19" s="78">
        <v>15</v>
      </c>
      <c r="AK19" s="110">
        <v>10</v>
      </c>
      <c r="AL19" s="79">
        <v>20</v>
      </c>
      <c r="AM19" s="110">
        <v>20</v>
      </c>
      <c r="AN19" s="79">
        <v>10</v>
      </c>
      <c r="AO19" s="79">
        <v>13</v>
      </c>
      <c r="AP19" s="110">
        <v>9</v>
      </c>
      <c r="AQ19" s="79">
        <v>5</v>
      </c>
      <c r="AR19" s="110">
        <v>10</v>
      </c>
      <c r="AS19" s="79">
        <f>SUM(AK19:AR19)</f>
        <v>97</v>
      </c>
      <c r="AT19" s="18"/>
      <c r="AU19" s="78">
        <v>15</v>
      </c>
      <c r="AV19" s="110">
        <f>AS19+0</f>
        <v>97</v>
      </c>
      <c r="AW19" s="75"/>
      <c r="AX19" s="18"/>
      <c r="AY19" s="110">
        <f>AH19</f>
        <v>90</v>
      </c>
      <c r="AZ19" s="75"/>
      <c r="BA19" s="18"/>
      <c r="BB19" s="110">
        <v>100</v>
      </c>
      <c r="BC19" s="75"/>
      <c r="BD19" s="18"/>
      <c r="BE19" s="76"/>
      <c r="BF19" s="75"/>
      <c r="BG19" s="18"/>
      <c r="BH19" s="78">
        <v>15</v>
      </c>
      <c r="BI19" s="110">
        <f>AS19-1</f>
        <v>96</v>
      </c>
      <c r="BJ19" s="75"/>
      <c r="BK19" s="18"/>
      <c r="BL19" s="110">
        <f>AH19-1</f>
        <v>89</v>
      </c>
      <c r="BM19" s="75"/>
      <c r="BN19" s="18"/>
      <c r="BO19" s="110">
        <v>100</v>
      </c>
      <c r="BP19" s="75"/>
      <c r="BQ19" s="18"/>
      <c r="BR19" s="76"/>
      <c r="BS19" s="75"/>
      <c r="BT19" s="18"/>
      <c r="BU19" s="78">
        <v>15</v>
      </c>
      <c r="BV19" s="110">
        <f>AS19+2</f>
        <v>99</v>
      </c>
      <c r="BW19" s="75"/>
      <c r="BX19" s="18"/>
      <c r="BY19" s="110">
        <f>AH19+2</f>
        <v>92</v>
      </c>
      <c r="BZ19" s="75"/>
      <c r="CA19" s="18"/>
      <c r="CB19" s="110">
        <v>100</v>
      </c>
      <c r="CC19" s="75"/>
      <c r="CD19" s="18"/>
      <c r="CE19" s="76"/>
      <c r="CF19" s="75"/>
      <c r="CG19" s="18"/>
      <c r="CH19" s="78">
        <v>15</v>
      </c>
      <c r="CI19" s="110">
        <f>AS19+1</f>
        <v>98</v>
      </c>
      <c r="CJ19" s="75"/>
      <c r="CK19" s="18"/>
      <c r="CL19" s="110">
        <f>AH19+1</f>
        <v>91</v>
      </c>
      <c r="CM19" s="75"/>
      <c r="CN19" s="18"/>
      <c r="CO19" s="110">
        <v>100</v>
      </c>
      <c r="CP19" s="75"/>
      <c r="CQ19" s="18"/>
      <c r="CR19" s="76"/>
      <c r="CS19" s="75"/>
      <c r="CT19" s="18"/>
      <c r="CU19" s="78">
        <v>15</v>
      </c>
      <c r="CV19" s="79">
        <f>(AV19+AY19+BB19+BE19)/4</f>
        <v>71.75</v>
      </c>
      <c r="CW19" s="79">
        <f>(BI19+BL19+BO19+BR19)/4</f>
        <v>71.25</v>
      </c>
      <c r="CX19" s="79">
        <f>(BV19+BY19+CB19+CE19)/4</f>
        <v>72.75</v>
      </c>
      <c r="CY19" s="79">
        <f>(CI19+CL19+CO19+CR19)/4</f>
        <v>72.25</v>
      </c>
      <c r="CZ19" s="18"/>
      <c r="DA19" s="80">
        <f>SUM(CV19:CY19)/4</f>
        <v>72</v>
      </c>
      <c r="DB19" s="18"/>
      <c r="DC19" s="79">
        <f>DA19*0.5</f>
        <v>36</v>
      </c>
      <c r="DD19" s="75"/>
      <c r="DE19" s="79">
        <f>DD19*0.5</f>
        <v>0</v>
      </c>
      <c r="DF19" s="81">
        <f>DE19+DC19</f>
        <v>36</v>
      </c>
      <c r="DG19" s="18"/>
      <c r="DH19" s="79">
        <f>DA19*0.3</f>
        <v>21.6</v>
      </c>
      <c r="DI19" s="75"/>
      <c r="DJ19" s="79">
        <f>DI19*0.7</f>
        <v>0</v>
      </c>
      <c r="DK19" s="81">
        <f>DJ19+DH19</f>
        <v>21.6</v>
      </c>
    </row>
    <row r="20" ht="26.25" customHeight="1">
      <c r="A20" s="68"/>
      <c r="B20" s="69">
        <v>16</v>
      </c>
      <c r="C20" t="s" s="70">
        <v>435</v>
      </c>
      <c r="D20" t="s" s="71">
        <v>436</v>
      </c>
      <c r="E20" t="s" s="72">
        <v>43</v>
      </c>
      <c r="F20" s="82"/>
      <c r="G20" t="s" s="83">
        <v>191</v>
      </c>
      <c r="H20" t="s" s="83">
        <v>161</v>
      </c>
      <c r="I20" t="s" s="72">
        <v>43</v>
      </c>
      <c r="J20" t="s" s="227">
        <v>161</v>
      </c>
      <c r="K20" t="s" s="211">
        <v>43</v>
      </c>
      <c r="L20" s="79">
        <v>10</v>
      </c>
      <c r="M20" s="163">
        <v>8</v>
      </c>
      <c r="N20" s="165">
        <v>10</v>
      </c>
      <c r="O20" s="79">
        <v>7</v>
      </c>
      <c r="P20" s="79">
        <v>9</v>
      </c>
      <c r="Q20" s="79">
        <v>8.5</v>
      </c>
      <c r="R20" s="79">
        <v>9</v>
      </c>
      <c r="S20" s="79">
        <v>10</v>
      </c>
      <c r="T20" s="79">
        <v>19</v>
      </c>
      <c r="U20" s="79">
        <v>2</v>
      </c>
      <c r="V20" s="233">
        <f>L20+M20+N20+O20+P20+Q20+R20+S20+T20+U20</f>
        <v>92.5</v>
      </c>
      <c r="W20" s="75"/>
      <c r="X20" s="74"/>
      <c r="Y20" s="165">
        <v>8</v>
      </c>
      <c r="Z20" s="163">
        <v>8</v>
      </c>
      <c r="AA20" s="165">
        <v>10</v>
      </c>
      <c r="AB20" s="79">
        <v>5</v>
      </c>
      <c r="AC20" s="110">
        <v>0</v>
      </c>
      <c r="AD20" s="79">
        <v>5</v>
      </c>
      <c r="AE20" s="110">
        <v>5</v>
      </c>
      <c r="AF20" s="75"/>
      <c r="AG20" s="79">
        <v>12</v>
      </c>
      <c r="AH20" s="111">
        <f>Y20+Z20+AA20+AB20+AC20+AD20+AE20+AF20+AG20+X20</f>
        <v>53</v>
      </c>
      <c r="AI20" s="76"/>
      <c r="AJ20" s="78">
        <v>16</v>
      </c>
      <c r="AK20" s="110">
        <v>10</v>
      </c>
      <c r="AL20" s="79">
        <v>20</v>
      </c>
      <c r="AM20" s="110">
        <v>20</v>
      </c>
      <c r="AN20" s="79">
        <v>10</v>
      </c>
      <c r="AO20" s="79">
        <v>15</v>
      </c>
      <c r="AP20" s="110">
        <v>9</v>
      </c>
      <c r="AQ20" s="79">
        <v>5</v>
      </c>
      <c r="AR20" s="110">
        <v>10</v>
      </c>
      <c r="AS20" s="79">
        <f>SUM(AK20:AR20)</f>
        <v>99</v>
      </c>
      <c r="AT20" s="18"/>
      <c r="AU20" s="78">
        <v>16</v>
      </c>
      <c r="AV20" s="110">
        <f>AS20+0</f>
        <v>99</v>
      </c>
      <c r="AW20" s="75"/>
      <c r="AX20" s="18"/>
      <c r="AY20" s="110">
        <f>AH20</f>
        <v>53</v>
      </c>
      <c r="AZ20" s="79">
        <v>85</v>
      </c>
      <c r="BA20" s="18"/>
      <c r="BB20" s="110">
        <f>V20</f>
        <v>92.5</v>
      </c>
      <c r="BC20" s="75"/>
      <c r="BD20" s="18"/>
      <c r="BE20" s="76"/>
      <c r="BF20" s="75"/>
      <c r="BG20" s="18"/>
      <c r="BH20" s="78">
        <v>16</v>
      </c>
      <c r="BI20" s="110">
        <f>AS20-1</f>
        <v>98</v>
      </c>
      <c r="BJ20" s="75"/>
      <c r="BK20" s="18"/>
      <c r="BL20" s="110">
        <f>AH20-1</f>
        <v>52</v>
      </c>
      <c r="BM20" s="79">
        <v>85</v>
      </c>
      <c r="BN20" s="18"/>
      <c r="BO20" s="110">
        <f>V20-1</f>
        <v>91.5</v>
      </c>
      <c r="BP20" s="75"/>
      <c r="BQ20" s="18"/>
      <c r="BR20" s="76"/>
      <c r="BS20" s="75"/>
      <c r="BT20" s="18"/>
      <c r="BU20" s="78">
        <v>16</v>
      </c>
      <c r="BV20" s="110">
        <v>100</v>
      </c>
      <c r="BW20" s="75"/>
      <c r="BX20" s="18"/>
      <c r="BY20" s="110">
        <f>AH20+2</f>
        <v>55</v>
      </c>
      <c r="BZ20" s="79">
        <v>85</v>
      </c>
      <c r="CA20" s="18"/>
      <c r="CB20" s="110">
        <f>V20+2</f>
        <v>94.5</v>
      </c>
      <c r="CC20" s="75"/>
      <c r="CD20" s="18"/>
      <c r="CE20" s="76"/>
      <c r="CF20" s="75"/>
      <c r="CG20" s="18"/>
      <c r="CH20" s="78">
        <v>16</v>
      </c>
      <c r="CI20" s="110">
        <f>AS20+1</f>
        <v>100</v>
      </c>
      <c r="CJ20" s="75"/>
      <c r="CK20" s="18"/>
      <c r="CL20" s="110">
        <f>AH20+1</f>
        <v>54</v>
      </c>
      <c r="CM20" s="79">
        <v>85</v>
      </c>
      <c r="CN20" s="18"/>
      <c r="CO20" s="110">
        <f>V20+1</f>
        <v>93.5</v>
      </c>
      <c r="CP20" s="75"/>
      <c r="CQ20" s="18"/>
      <c r="CR20" s="76"/>
      <c r="CS20" s="75"/>
      <c r="CT20" s="18"/>
      <c r="CU20" s="78">
        <v>16</v>
      </c>
      <c r="CV20" s="79">
        <f>(AV20+AY20+BB20+BE20)/4</f>
        <v>61.125</v>
      </c>
      <c r="CW20" s="79">
        <f>(BI20+BL20+BO20+BR20)/4</f>
        <v>60.375</v>
      </c>
      <c r="CX20" s="79">
        <f>(BV20+BY20+CB20+CE20)/4</f>
        <v>62.375</v>
      </c>
      <c r="CY20" s="79">
        <f>(CI20+CL20+CO20+CR20)/4</f>
        <v>61.875</v>
      </c>
      <c r="CZ20" s="18"/>
      <c r="DA20" s="80">
        <f>SUM(CV20:CY20)/4</f>
        <v>61.4375</v>
      </c>
      <c r="DB20" s="18"/>
      <c r="DC20" s="79">
        <f>DA20*0.5</f>
        <v>30.71875</v>
      </c>
      <c r="DD20" s="75"/>
      <c r="DE20" s="79">
        <f>DD20*0.5</f>
        <v>0</v>
      </c>
      <c r="DF20" s="81">
        <f>DE20+DC20</f>
        <v>30.71875</v>
      </c>
      <c r="DG20" s="18"/>
      <c r="DH20" s="79">
        <f>DA20*0.3</f>
        <v>18.43125</v>
      </c>
      <c r="DI20" s="75"/>
      <c r="DJ20" s="79">
        <f>DI20*0.7</f>
        <v>0</v>
      </c>
      <c r="DK20" s="81">
        <f>DJ20+DH20</f>
        <v>18.43125</v>
      </c>
    </row>
    <row r="21" ht="26.25" customHeight="1">
      <c r="A21" s="68"/>
      <c r="B21" s="69">
        <v>17</v>
      </c>
      <c r="C21" t="s" s="70">
        <v>437</v>
      </c>
      <c r="D21" t="s" s="71">
        <v>438</v>
      </c>
      <c r="E21" t="s" s="72">
        <v>43</v>
      </c>
      <c r="F21" t="s" s="113">
        <v>161</v>
      </c>
      <c r="G21" s="75"/>
      <c r="H21" t="s" s="83">
        <v>161</v>
      </c>
      <c r="I21" t="s" s="72">
        <v>161</v>
      </c>
      <c r="J21" t="s" s="227">
        <v>161</v>
      </c>
      <c r="K21" t="s" s="211">
        <v>161</v>
      </c>
      <c r="L21" s="79">
        <v>0</v>
      </c>
      <c r="M21" s="163">
        <v>8</v>
      </c>
      <c r="N21" s="165">
        <v>9</v>
      </c>
      <c r="O21" s="234">
        <v>0</v>
      </c>
      <c r="P21" s="75"/>
      <c r="Q21" s="75"/>
      <c r="R21" s="75"/>
      <c r="S21" s="79">
        <v>10</v>
      </c>
      <c r="T21" s="75"/>
      <c r="U21" s="79">
        <v>7</v>
      </c>
      <c r="V21" s="233">
        <f>L21+M21+N21+O21+P21+Q21+R21+S21+T21+U21</f>
        <v>34</v>
      </c>
      <c r="W21" s="75"/>
      <c r="X21" s="74"/>
      <c r="Y21" s="165">
        <v>8</v>
      </c>
      <c r="Z21" s="163">
        <v>8</v>
      </c>
      <c r="AA21" s="165">
        <v>9</v>
      </c>
      <c r="AB21" s="79">
        <v>17</v>
      </c>
      <c r="AC21" s="110">
        <v>0</v>
      </c>
      <c r="AD21" s="79">
        <v>5</v>
      </c>
      <c r="AE21" s="76"/>
      <c r="AF21" s="75"/>
      <c r="AG21" s="79">
        <v>12</v>
      </c>
      <c r="AH21" s="111">
        <f>Y21+Z21+AA21+AB21+AC21+AD21+AE21+AF21+AG21+X21</f>
        <v>59</v>
      </c>
      <c r="AI21" s="76"/>
      <c r="AJ21" s="78">
        <v>17</v>
      </c>
      <c r="AK21" s="110">
        <v>10</v>
      </c>
      <c r="AL21" s="79">
        <v>15</v>
      </c>
      <c r="AM21" s="110">
        <v>20</v>
      </c>
      <c r="AN21" s="79">
        <v>5</v>
      </c>
      <c r="AO21" s="79">
        <v>5</v>
      </c>
      <c r="AP21" s="110">
        <v>8</v>
      </c>
      <c r="AQ21" s="79">
        <v>2</v>
      </c>
      <c r="AR21" s="110">
        <v>10</v>
      </c>
      <c r="AS21" s="79">
        <f>SUM(AK21:AR21)</f>
        <v>75</v>
      </c>
      <c r="AT21" s="18"/>
      <c r="AU21" s="78">
        <v>17</v>
      </c>
      <c r="AV21" s="110">
        <f>AS21+0</f>
        <v>75</v>
      </c>
      <c r="AW21" s="75"/>
      <c r="AX21" s="18"/>
      <c r="AY21" s="110">
        <f>AH21</f>
        <v>59</v>
      </c>
      <c r="AZ21" s="79">
        <v>60</v>
      </c>
      <c r="BA21" s="18"/>
      <c r="BB21" s="110">
        <f>V21</f>
        <v>34</v>
      </c>
      <c r="BC21" s="75"/>
      <c r="BD21" s="18"/>
      <c r="BE21" s="76"/>
      <c r="BF21" s="75"/>
      <c r="BG21" s="18"/>
      <c r="BH21" s="78">
        <v>17</v>
      </c>
      <c r="BI21" s="110">
        <f>AS21-1</f>
        <v>74</v>
      </c>
      <c r="BJ21" s="75"/>
      <c r="BK21" s="18"/>
      <c r="BL21" s="110">
        <f>AH21-1</f>
        <v>58</v>
      </c>
      <c r="BM21" s="79">
        <v>60</v>
      </c>
      <c r="BN21" s="18"/>
      <c r="BO21" s="110">
        <f>V21-1</f>
        <v>33</v>
      </c>
      <c r="BP21" s="75"/>
      <c r="BQ21" s="18"/>
      <c r="BR21" s="76"/>
      <c r="BS21" s="75"/>
      <c r="BT21" s="18"/>
      <c r="BU21" s="78">
        <v>17</v>
      </c>
      <c r="BV21" s="110">
        <f>AS21+2</f>
        <v>77</v>
      </c>
      <c r="BW21" s="75"/>
      <c r="BX21" s="18"/>
      <c r="BY21" s="110">
        <f>AH21+2</f>
        <v>61</v>
      </c>
      <c r="BZ21" s="79">
        <v>60</v>
      </c>
      <c r="CA21" s="18"/>
      <c r="CB21" s="110">
        <f>V21+2</f>
        <v>36</v>
      </c>
      <c r="CC21" s="75"/>
      <c r="CD21" s="18"/>
      <c r="CE21" s="76"/>
      <c r="CF21" s="75"/>
      <c r="CG21" s="18"/>
      <c r="CH21" s="78">
        <v>17</v>
      </c>
      <c r="CI21" s="110">
        <f>AS21+1</f>
        <v>76</v>
      </c>
      <c r="CJ21" s="75"/>
      <c r="CK21" s="18"/>
      <c r="CL21" s="110">
        <f>AH21+1</f>
        <v>60</v>
      </c>
      <c r="CM21" s="79">
        <v>60</v>
      </c>
      <c r="CN21" s="18"/>
      <c r="CO21" s="110">
        <f>V21+1</f>
        <v>35</v>
      </c>
      <c r="CP21" s="75"/>
      <c r="CQ21" s="18"/>
      <c r="CR21" s="76"/>
      <c r="CS21" s="75"/>
      <c r="CT21" s="18"/>
      <c r="CU21" s="78">
        <v>17</v>
      </c>
      <c r="CV21" s="79">
        <f>(AV21+AY21+BB21+BE21)/4</f>
        <v>42</v>
      </c>
      <c r="CW21" s="79">
        <f>(BI21+BL21+BO21+BR21)/4</f>
        <v>41.25</v>
      </c>
      <c r="CX21" s="79">
        <f>(BV21+BY21+CB21+CE21)/4</f>
        <v>43.5</v>
      </c>
      <c r="CY21" s="79">
        <f>(CI21+CL21+CO21+CR21)/4</f>
        <v>42.75</v>
      </c>
      <c r="CZ21" s="18"/>
      <c r="DA21" s="80">
        <f>SUM(CV21:CY21)/4</f>
        <v>42.375</v>
      </c>
      <c r="DB21" s="18"/>
      <c r="DC21" s="79">
        <f>DA21*0.5</f>
        <v>21.1875</v>
      </c>
      <c r="DD21" s="75"/>
      <c r="DE21" s="79">
        <f>DD21*0.5</f>
        <v>0</v>
      </c>
      <c r="DF21" s="81">
        <f>DE21+DC21</f>
        <v>21.1875</v>
      </c>
      <c r="DG21" s="18"/>
      <c r="DH21" s="79">
        <f>DA21*0.3</f>
        <v>12.7125</v>
      </c>
      <c r="DI21" s="75"/>
      <c r="DJ21" s="79">
        <f>DI21*0.7</f>
        <v>0</v>
      </c>
      <c r="DK21" s="81">
        <f>DJ21+DH21</f>
        <v>12.7125</v>
      </c>
    </row>
    <row r="22" ht="26.25" customHeight="1">
      <c r="A22" s="68"/>
      <c r="B22" s="69">
        <v>18</v>
      </c>
      <c r="C22" t="s" s="70">
        <v>439</v>
      </c>
      <c r="D22" t="s" s="71">
        <v>440</v>
      </c>
      <c r="E22" t="s" s="72">
        <v>43</v>
      </c>
      <c r="F22" t="s" s="113">
        <v>161</v>
      </c>
      <c r="G22" s="75"/>
      <c r="H22" t="s" s="83">
        <v>43</v>
      </c>
      <c r="I22" t="s" s="72">
        <v>43</v>
      </c>
      <c r="J22" t="s" s="227">
        <v>43</v>
      </c>
      <c r="K22" t="s" s="211">
        <v>43</v>
      </c>
      <c r="L22" s="79">
        <v>10</v>
      </c>
      <c r="M22" s="163">
        <v>8</v>
      </c>
      <c r="N22" s="165">
        <v>8</v>
      </c>
      <c r="O22" s="112">
        <v>0</v>
      </c>
      <c r="P22" s="75"/>
      <c r="Q22" s="75"/>
      <c r="R22" s="75"/>
      <c r="S22" s="79">
        <v>10</v>
      </c>
      <c r="T22" s="79">
        <v>10</v>
      </c>
      <c r="U22" s="79">
        <v>7</v>
      </c>
      <c r="V22" s="233">
        <f>L22+M22+N22+O22+P22+Q22+R22+S22+T22+U22</f>
        <v>53</v>
      </c>
      <c r="W22" s="75"/>
      <c r="X22" s="74"/>
      <c r="Y22" s="165">
        <v>8</v>
      </c>
      <c r="Z22" s="163">
        <v>8</v>
      </c>
      <c r="AA22" s="165">
        <v>8</v>
      </c>
      <c r="AB22" s="75"/>
      <c r="AC22" s="145">
        <v>15</v>
      </c>
      <c r="AD22" s="75"/>
      <c r="AE22" s="76"/>
      <c r="AF22" s="75"/>
      <c r="AG22" s="79">
        <v>12</v>
      </c>
      <c r="AH22" s="111">
        <f>Y22+Z22+AA22+AB22+AC22+AD22+AE22+AF22+AG22+X22</f>
        <v>51</v>
      </c>
      <c r="AI22" s="76"/>
      <c r="AJ22" s="78">
        <v>18</v>
      </c>
      <c r="AK22" s="110">
        <v>10</v>
      </c>
      <c r="AL22" s="79">
        <v>0</v>
      </c>
      <c r="AM22" s="110">
        <v>20</v>
      </c>
      <c r="AN22" s="79">
        <v>0</v>
      </c>
      <c r="AO22" s="79">
        <v>0</v>
      </c>
      <c r="AP22" s="110">
        <v>7</v>
      </c>
      <c r="AQ22" s="79">
        <v>0</v>
      </c>
      <c r="AR22" s="110">
        <v>10</v>
      </c>
      <c r="AS22" s="79">
        <f>SUM(AK22:AR22)</f>
        <v>47</v>
      </c>
      <c r="AT22" s="18"/>
      <c r="AU22" s="78">
        <v>18</v>
      </c>
      <c r="AV22" s="110">
        <f>AS22+0</f>
        <v>47</v>
      </c>
      <c r="AW22" s="79">
        <v>50</v>
      </c>
      <c r="AX22" s="18"/>
      <c r="AY22" s="110">
        <f>AH22</f>
        <v>51</v>
      </c>
      <c r="AZ22" s="75"/>
      <c r="BA22" s="18"/>
      <c r="BB22" s="110">
        <f>V22</f>
        <v>53</v>
      </c>
      <c r="BC22" s="75"/>
      <c r="BD22" s="18"/>
      <c r="BE22" s="76"/>
      <c r="BF22" s="75"/>
      <c r="BG22" s="18"/>
      <c r="BH22" s="78">
        <v>18</v>
      </c>
      <c r="BI22" s="110">
        <f>AS22-1</f>
        <v>46</v>
      </c>
      <c r="BJ22" s="79">
        <v>50</v>
      </c>
      <c r="BK22" s="18"/>
      <c r="BL22" s="110">
        <f>AH22-1</f>
        <v>50</v>
      </c>
      <c r="BM22" s="75"/>
      <c r="BN22" s="18"/>
      <c r="BO22" s="110">
        <f>V22-1</f>
        <v>52</v>
      </c>
      <c r="BP22" s="75"/>
      <c r="BQ22" s="18"/>
      <c r="BR22" s="76"/>
      <c r="BS22" s="75"/>
      <c r="BT22" s="18"/>
      <c r="BU22" s="78">
        <v>18</v>
      </c>
      <c r="BV22" s="110">
        <f>AS22+2</f>
        <v>49</v>
      </c>
      <c r="BW22" s="79">
        <v>50</v>
      </c>
      <c r="BX22" s="18"/>
      <c r="BY22" s="110">
        <f>AH22+2</f>
        <v>53</v>
      </c>
      <c r="BZ22" s="75"/>
      <c r="CA22" s="18"/>
      <c r="CB22" s="110">
        <f>V22+2</f>
        <v>55</v>
      </c>
      <c r="CC22" s="75"/>
      <c r="CD22" s="18"/>
      <c r="CE22" s="76"/>
      <c r="CF22" s="75"/>
      <c r="CG22" s="18"/>
      <c r="CH22" s="78">
        <v>18</v>
      </c>
      <c r="CI22" s="110">
        <f>AS22+1</f>
        <v>48</v>
      </c>
      <c r="CJ22" s="79">
        <v>50</v>
      </c>
      <c r="CK22" s="18"/>
      <c r="CL22" s="110">
        <f>AH22+1</f>
        <v>52</v>
      </c>
      <c r="CM22" s="75"/>
      <c r="CN22" s="18"/>
      <c r="CO22" s="110">
        <f>V22+1</f>
        <v>54</v>
      </c>
      <c r="CP22" s="75"/>
      <c r="CQ22" s="18"/>
      <c r="CR22" s="76"/>
      <c r="CS22" s="75"/>
      <c r="CT22" s="18"/>
      <c r="CU22" s="78">
        <v>18</v>
      </c>
      <c r="CV22" s="79">
        <f>(AV22+AY22+BB22+BE22)/4</f>
        <v>37.75</v>
      </c>
      <c r="CW22" s="79">
        <f>(BI22+BL22+BO22+BR22)/4</f>
        <v>37</v>
      </c>
      <c r="CX22" s="79">
        <f>(BV22+BY22+CB22+CE22)/4</f>
        <v>39.25</v>
      </c>
      <c r="CY22" s="79">
        <f>(CI22+CL22+CO22+CR22)/4</f>
        <v>38.5</v>
      </c>
      <c r="CZ22" s="18"/>
      <c r="DA22" s="80">
        <f>SUM(CV22:CY22)/4</f>
        <v>38.125</v>
      </c>
      <c r="DB22" s="18"/>
      <c r="DC22" s="79">
        <f>DA22*0.5</f>
        <v>19.0625</v>
      </c>
      <c r="DD22" s="75"/>
      <c r="DE22" s="79">
        <f>DD22*0.5</f>
        <v>0</v>
      </c>
      <c r="DF22" s="81">
        <f>DE22+DC22</f>
        <v>19.0625</v>
      </c>
      <c r="DG22" s="18"/>
      <c r="DH22" s="79">
        <f>DA22*0.3</f>
        <v>11.4375</v>
      </c>
      <c r="DI22" s="75"/>
      <c r="DJ22" s="79">
        <f>DI22*0.7</f>
        <v>0</v>
      </c>
      <c r="DK22" s="81">
        <f>DJ22+DH22</f>
        <v>11.4375</v>
      </c>
    </row>
    <row r="23" ht="26.25" customHeight="1">
      <c r="A23" s="68"/>
      <c r="B23" s="69">
        <v>19</v>
      </c>
      <c r="C23" t="s" s="70">
        <v>441</v>
      </c>
      <c r="D23" t="s" s="71">
        <v>442</v>
      </c>
      <c r="E23" t="s" s="72">
        <v>161</v>
      </c>
      <c r="F23" s="82"/>
      <c r="G23" s="75"/>
      <c r="H23" t="s" s="235">
        <v>43</v>
      </c>
      <c r="I23" t="s" s="72">
        <v>43</v>
      </c>
      <c r="J23" t="s" s="227">
        <v>43</v>
      </c>
      <c r="K23" t="s" s="211">
        <v>43</v>
      </c>
      <c r="L23" s="79">
        <v>10</v>
      </c>
      <c r="M23" s="163">
        <v>10</v>
      </c>
      <c r="N23" s="165">
        <v>10</v>
      </c>
      <c r="O23" s="236">
        <v>37</v>
      </c>
      <c r="P23" s="75"/>
      <c r="Q23" s="75"/>
      <c r="R23" s="75"/>
      <c r="S23" s="79">
        <v>10</v>
      </c>
      <c r="T23" s="79">
        <v>20</v>
      </c>
      <c r="U23" s="79">
        <v>3</v>
      </c>
      <c r="V23" s="233">
        <f>L23+M23+N23+O23+P23+Q23+R23+S23+T23+U23</f>
        <v>100</v>
      </c>
      <c r="W23" s="75"/>
      <c r="X23" s="74"/>
      <c r="Y23" s="165">
        <v>10</v>
      </c>
      <c r="Z23" s="163">
        <v>10</v>
      </c>
      <c r="AA23" s="165">
        <v>10</v>
      </c>
      <c r="AB23" s="79">
        <v>19</v>
      </c>
      <c r="AC23" s="145">
        <v>15</v>
      </c>
      <c r="AD23" s="79">
        <v>5</v>
      </c>
      <c r="AE23" s="110">
        <v>5</v>
      </c>
      <c r="AF23" s="79">
        <v>5</v>
      </c>
      <c r="AG23" s="79">
        <v>12</v>
      </c>
      <c r="AH23" s="111">
        <f>Y23+Z23+AA23+AB23+AC23+AD23+AE23+AF23+AG23+X23</f>
        <v>91</v>
      </c>
      <c r="AI23" s="76"/>
      <c r="AJ23" s="78">
        <v>19</v>
      </c>
      <c r="AK23" s="110">
        <v>10</v>
      </c>
      <c r="AL23" s="79">
        <v>20</v>
      </c>
      <c r="AM23" s="110">
        <v>20</v>
      </c>
      <c r="AN23" s="79">
        <v>10</v>
      </c>
      <c r="AO23" s="79">
        <v>15</v>
      </c>
      <c r="AP23" s="110">
        <v>10</v>
      </c>
      <c r="AQ23" s="79">
        <v>5</v>
      </c>
      <c r="AR23" s="110">
        <v>10</v>
      </c>
      <c r="AS23" s="79">
        <f>SUM(AK23:AR23)</f>
        <v>100</v>
      </c>
      <c r="AT23" s="18"/>
      <c r="AU23" s="78">
        <v>19</v>
      </c>
      <c r="AV23" s="110">
        <f>AS23+0</f>
        <v>100</v>
      </c>
      <c r="AW23" s="75"/>
      <c r="AX23" s="18"/>
      <c r="AY23" s="110">
        <f>AH23</f>
        <v>91</v>
      </c>
      <c r="AZ23" s="75"/>
      <c r="BA23" s="18"/>
      <c r="BB23" s="110">
        <f>V23</f>
        <v>100</v>
      </c>
      <c r="BC23" s="75"/>
      <c r="BD23" s="18"/>
      <c r="BE23" s="76"/>
      <c r="BF23" s="75"/>
      <c r="BG23" s="18"/>
      <c r="BH23" s="78">
        <v>19</v>
      </c>
      <c r="BI23" s="110">
        <f>AS23-1</f>
        <v>99</v>
      </c>
      <c r="BJ23" s="75"/>
      <c r="BK23" s="18"/>
      <c r="BL23" s="110">
        <f>AH23-1</f>
        <v>90</v>
      </c>
      <c r="BM23" s="75"/>
      <c r="BN23" s="18"/>
      <c r="BO23" s="110">
        <f>V23-1</f>
        <v>99</v>
      </c>
      <c r="BP23" s="75"/>
      <c r="BQ23" s="18"/>
      <c r="BR23" s="76"/>
      <c r="BS23" s="75"/>
      <c r="BT23" s="18"/>
      <c r="BU23" s="78">
        <v>19</v>
      </c>
      <c r="BV23" s="110">
        <v>100</v>
      </c>
      <c r="BW23" s="75"/>
      <c r="BX23" s="18"/>
      <c r="BY23" s="110">
        <f>AH23+2</f>
        <v>93</v>
      </c>
      <c r="BZ23" s="75"/>
      <c r="CA23" s="18"/>
      <c r="CB23" s="110">
        <v>100</v>
      </c>
      <c r="CC23" s="75"/>
      <c r="CD23" s="18"/>
      <c r="CE23" s="76"/>
      <c r="CF23" s="75"/>
      <c r="CG23" s="18"/>
      <c r="CH23" s="78">
        <v>19</v>
      </c>
      <c r="CI23" s="110">
        <v>100</v>
      </c>
      <c r="CJ23" s="75"/>
      <c r="CK23" s="18"/>
      <c r="CL23" s="110">
        <f>AH23+1</f>
        <v>92</v>
      </c>
      <c r="CM23" s="75"/>
      <c r="CN23" s="18"/>
      <c r="CO23" s="110">
        <v>100</v>
      </c>
      <c r="CP23" s="75"/>
      <c r="CQ23" s="18"/>
      <c r="CR23" s="76"/>
      <c r="CS23" s="75"/>
      <c r="CT23" s="18"/>
      <c r="CU23" s="78">
        <v>19</v>
      </c>
      <c r="CV23" s="79">
        <f>(AV23+AY23+BB23+BE23)/4</f>
        <v>72.75</v>
      </c>
      <c r="CW23" s="79">
        <f>(BI23+BL23+BO23+BR23)/4</f>
        <v>72</v>
      </c>
      <c r="CX23" s="79">
        <f>(BV23+BY23+CB23+CE23)/4</f>
        <v>73.25</v>
      </c>
      <c r="CY23" s="79">
        <f>(CI23+CL23+CO23+CR23)/4</f>
        <v>73</v>
      </c>
      <c r="CZ23" s="18"/>
      <c r="DA23" s="80">
        <f>SUM(CV23:CY23)/4</f>
        <v>72.75</v>
      </c>
      <c r="DB23" s="18"/>
      <c r="DC23" s="79">
        <f>DA23*0.5</f>
        <v>36.375</v>
      </c>
      <c r="DD23" s="75"/>
      <c r="DE23" s="79">
        <f>DD23*0.5</f>
        <v>0</v>
      </c>
      <c r="DF23" s="81">
        <f>DE23+DC23</f>
        <v>36.375</v>
      </c>
      <c r="DG23" s="18"/>
      <c r="DH23" s="79">
        <f>DA23*0.3</f>
        <v>21.825</v>
      </c>
      <c r="DI23" s="75"/>
      <c r="DJ23" s="79">
        <f>DI23*0.7</f>
        <v>0</v>
      </c>
      <c r="DK23" s="81">
        <f>DJ23+DH23</f>
        <v>21.825</v>
      </c>
    </row>
    <row r="24" ht="26.25" customHeight="1">
      <c r="A24" s="68"/>
      <c r="B24" s="69">
        <v>20</v>
      </c>
      <c r="C24" t="s" s="70">
        <v>443</v>
      </c>
      <c r="D24" t="s" s="71">
        <v>444</v>
      </c>
      <c r="E24" t="s" s="72">
        <v>161</v>
      </c>
      <c r="F24" s="82"/>
      <c r="G24" s="74"/>
      <c r="H24" t="s" s="237">
        <v>161</v>
      </c>
      <c r="I24" t="s" s="72">
        <v>161</v>
      </c>
      <c r="J24" t="s" s="227">
        <v>43</v>
      </c>
      <c r="K24" t="s" s="211">
        <v>161</v>
      </c>
      <c r="L24" s="79">
        <v>6</v>
      </c>
      <c r="M24" s="163">
        <v>10</v>
      </c>
      <c r="N24" s="165">
        <v>10</v>
      </c>
      <c r="O24" s="79">
        <v>7</v>
      </c>
      <c r="P24" s="79">
        <v>7</v>
      </c>
      <c r="Q24" s="79">
        <v>8</v>
      </c>
      <c r="R24" s="79">
        <v>8</v>
      </c>
      <c r="S24" s="79">
        <v>10</v>
      </c>
      <c r="T24" s="79">
        <v>16</v>
      </c>
      <c r="U24" s="79">
        <v>10</v>
      </c>
      <c r="V24" s="233">
        <f>L24+M24+N24+O24+P24+Q24+R24+S24+T24+U24</f>
        <v>92</v>
      </c>
      <c r="W24" s="75"/>
      <c r="X24" s="74"/>
      <c r="Y24" s="165">
        <v>10</v>
      </c>
      <c r="Z24" s="163">
        <v>10</v>
      </c>
      <c r="AA24" s="165">
        <v>10</v>
      </c>
      <c r="AB24" s="79">
        <v>20</v>
      </c>
      <c r="AC24" s="145">
        <v>15</v>
      </c>
      <c r="AD24" s="79">
        <v>5</v>
      </c>
      <c r="AE24" s="110">
        <v>5</v>
      </c>
      <c r="AF24" s="79">
        <v>5</v>
      </c>
      <c r="AG24" s="79">
        <v>12</v>
      </c>
      <c r="AH24" s="111">
        <f>Y24+Z24+AA24+AB24+AC24+AD24+AE24+AF24+AG24+X24</f>
        <v>92</v>
      </c>
      <c r="AI24" s="76"/>
      <c r="AJ24" s="78">
        <v>20</v>
      </c>
      <c r="AK24" s="110">
        <v>10</v>
      </c>
      <c r="AL24" s="79">
        <v>20</v>
      </c>
      <c r="AM24" s="110">
        <v>20</v>
      </c>
      <c r="AN24" s="79">
        <v>10</v>
      </c>
      <c r="AO24" s="79">
        <v>15</v>
      </c>
      <c r="AP24" s="110">
        <v>9</v>
      </c>
      <c r="AQ24" s="79">
        <v>5</v>
      </c>
      <c r="AR24" s="110">
        <v>10</v>
      </c>
      <c r="AS24" s="79">
        <f>SUM(AK24:AR24)</f>
        <v>99</v>
      </c>
      <c r="AT24" s="18"/>
      <c r="AU24" s="78">
        <v>20</v>
      </c>
      <c r="AV24" s="110">
        <f>AS24+0</f>
        <v>99</v>
      </c>
      <c r="AW24" s="75"/>
      <c r="AX24" s="18"/>
      <c r="AY24" s="110">
        <f>AH24</f>
        <v>92</v>
      </c>
      <c r="AZ24" s="75"/>
      <c r="BA24" s="18"/>
      <c r="BB24" s="110">
        <f>V24</f>
        <v>92</v>
      </c>
      <c r="BC24" s="75"/>
      <c r="BD24" s="18"/>
      <c r="BE24" s="76"/>
      <c r="BF24" s="75"/>
      <c r="BG24" s="18"/>
      <c r="BH24" s="78">
        <v>20</v>
      </c>
      <c r="BI24" s="110">
        <f>AS24-1</f>
        <v>98</v>
      </c>
      <c r="BJ24" s="75"/>
      <c r="BK24" s="18"/>
      <c r="BL24" s="110">
        <f>AH24-1</f>
        <v>91</v>
      </c>
      <c r="BM24" s="75"/>
      <c r="BN24" s="18"/>
      <c r="BO24" s="110">
        <f>V24-1</f>
        <v>91</v>
      </c>
      <c r="BP24" s="75"/>
      <c r="BQ24" s="18"/>
      <c r="BR24" s="76"/>
      <c r="BS24" s="75"/>
      <c r="BT24" s="18"/>
      <c r="BU24" s="78">
        <v>20</v>
      </c>
      <c r="BV24" s="110">
        <v>100</v>
      </c>
      <c r="BW24" s="75"/>
      <c r="BX24" s="18"/>
      <c r="BY24" s="110">
        <f>AH24+2</f>
        <v>94</v>
      </c>
      <c r="BZ24" s="75"/>
      <c r="CA24" s="18"/>
      <c r="CB24" s="110">
        <f>V24+2</f>
        <v>94</v>
      </c>
      <c r="CC24" s="75"/>
      <c r="CD24" s="18"/>
      <c r="CE24" s="76"/>
      <c r="CF24" s="75"/>
      <c r="CG24" s="18"/>
      <c r="CH24" s="78">
        <v>20</v>
      </c>
      <c r="CI24" s="110">
        <f>AS24+1</f>
        <v>100</v>
      </c>
      <c r="CJ24" s="75"/>
      <c r="CK24" s="18"/>
      <c r="CL24" s="110">
        <f>AH24+1</f>
        <v>93</v>
      </c>
      <c r="CM24" s="75"/>
      <c r="CN24" s="18"/>
      <c r="CO24" s="110">
        <f>V24+1</f>
        <v>93</v>
      </c>
      <c r="CP24" s="75"/>
      <c r="CQ24" s="18"/>
      <c r="CR24" s="76"/>
      <c r="CS24" s="75"/>
      <c r="CT24" s="18"/>
      <c r="CU24" s="78">
        <v>20</v>
      </c>
      <c r="CV24" s="79">
        <f>(AV24+AY24+BB24+BE24)/4</f>
        <v>70.75</v>
      </c>
      <c r="CW24" s="79">
        <f>(BI24+BL24+BO24+BR24)/4</f>
        <v>70</v>
      </c>
      <c r="CX24" s="79">
        <f>(BV24+BY24+CB24+CE24)/4</f>
        <v>72</v>
      </c>
      <c r="CY24" s="79">
        <f>(CI24+CL24+CO24+CR24)/4</f>
        <v>71.5</v>
      </c>
      <c r="CZ24" s="18"/>
      <c r="DA24" s="80">
        <f>SUM(CV24:CY24)/4</f>
        <v>71.0625</v>
      </c>
      <c r="DB24" s="18"/>
      <c r="DC24" s="79">
        <f>DA24*0.5</f>
        <v>35.53125</v>
      </c>
      <c r="DD24" s="75"/>
      <c r="DE24" s="79">
        <f>DD24*0.5</f>
        <v>0</v>
      </c>
      <c r="DF24" s="81">
        <f>DE24+DC24</f>
        <v>35.53125</v>
      </c>
      <c r="DG24" s="18"/>
      <c r="DH24" s="79">
        <f>DA24*0.3</f>
        <v>21.31875</v>
      </c>
      <c r="DI24" s="75"/>
      <c r="DJ24" s="79">
        <f>DI24*0.7</f>
        <v>0</v>
      </c>
      <c r="DK24" s="81">
        <f>DJ24+DH24</f>
        <v>21.31875</v>
      </c>
    </row>
    <row r="25" ht="26.25" customHeight="1">
      <c r="A25" s="68"/>
      <c r="B25" s="69">
        <v>21</v>
      </c>
      <c r="C25" t="s" s="70">
        <v>445</v>
      </c>
      <c r="D25" t="s" s="71">
        <v>446</v>
      </c>
      <c r="E25" t="s" s="72">
        <v>43</v>
      </c>
      <c r="F25" t="s" s="113">
        <v>161</v>
      </c>
      <c r="G25" s="75"/>
      <c r="H25" t="s" s="225">
        <v>43</v>
      </c>
      <c r="I25" t="s" s="72">
        <v>43</v>
      </c>
      <c r="J25" t="s" s="227">
        <v>43</v>
      </c>
      <c r="K25" t="s" s="211">
        <v>43</v>
      </c>
      <c r="L25" s="79">
        <v>10</v>
      </c>
      <c r="M25" s="163">
        <v>10</v>
      </c>
      <c r="N25" s="165">
        <v>10</v>
      </c>
      <c r="O25" s="79">
        <v>7</v>
      </c>
      <c r="P25" s="79">
        <v>9</v>
      </c>
      <c r="Q25" s="79">
        <v>8.5</v>
      </c>
      <c r="R25" s="79">
        <v>9</v>
      </c>
      <c r="S25" s="79">
        <v>10</v>
      </c>
      <c r="T25" s="79">
        <v>20</v>
      </c>
      <c r="U25" s="79">
        <v>10</v>
      </c>
      <c r="V25" s="233">
        <f>L25+M25+N25+O25+P25+Q25+R25+S25+T25+U25</f>
        <v>103.5</v>
      </c>
      <c r="W25" s="75"/>
      <c r="X25" s="74"/>
      <c r="Y25" s="165">
        <v>9</v>
      </c>
      <c r="Z25" s="163">
        <v>10</v>
      </c>
      <c r="AA25" s="165">
        <v>10</v>
      </c>
      <c r="AB25" s="79">
        <v>20</v>
      </c>
      <c r="AC25" s="145">
        <v>15</v>
      </c>
      <c r="AD25" s="79">
        <v>5</v>
      </c>
      <c r="AE25" s="110">
        <v>5</v>
      </c>
      <c r="AF25" s="79">
        <v>5</v>
      </c>
      <c r="AG25" s="79">
        <v>12</v>
      </c>
      <c r="AH25" s="111">
        <f>Y25+Z25+AA25+AB25+AC25+AD25+AE25+AF25+AG25+X25</f>
        <v>91</v>
      </c>
      <c r="AI25" s="76"/>
      <c r="AJ25" s="78">
        <v>21</v>
      </c>
      <c r="AK25" s="110">
        <v>10</v>
      </c>
      <c r="AL25" s="79">
        <v>20</v>
      </c>
      <c r="AM25" s="110">
        <v>20</v>
      </c>
      <c r="AN25" s="79">
        <v>10</v>
      </c>
      <c r="AO25" s="79">
        <v>15</v>
      </c>
      <c r="AP25" s="110">
        <v>10</v>
      </c>
      <c r="AQ25" s="79">
        <v>5</v>
      </c>
      <c r="AR25" s="110">
        <v>10</v>
      </c>
      <c r="AS25" s="79">
        <f>SUM(AK25:AR25)</f>
        <v>100</v>
      </c>
      <c r="AT25" s="18"/>
      <c r="AU25" s="78">
        <v>21</v>
      </c>
      <c r="AV25" s="110">
        <f>AS25+0</f>
        <v>100</v>
      </c>
      <c r="AW25" s="75"/>
      <c r="AX25" s="18"/>
      <c r="AY25" s="110">
        <f>AH25</f>
        <v>91</v>
      </c>
      <c r="AZ25" s="75"/>
      <c r="BA25" s="18"/>
      <c r="BB25" s="110">
        <v>100</v>
      </c>
      <c r="BC25" s="75"/>
      <c r="BD25" s="18"/>
      <c r="BE25" s="76"/>
      <c r="BF25" s="75"/>
      <c r="BG25" s="18"/>
      <c r="BH25" s="78">
        <v>21</v>
      </c>
      <c r="BI25" s="110">
        <f>AS25-1</f>
        <v>99</v>
      </c>
      <c r="BJ25" s="75"/>
      <c r="BK25" s="18"/>
      <c r="BL25" s="110">
        <f>AH25-1</f>
        <v>90</v>
      </c>
      <c r="BM25" s="75"/>
      <c r="BN25" s="18"/>
      <c r="BO25" s="110">
        <v>100</v>
      </c>
      <c r="BP25" s="75"/>
      <c r="BQ25" s="18"/>
      <c r="BR25" s="76"/>
      <c r="BS25" s="75"/>
      <c r="BT25" s="18"/>
      <c r="BU25" s="78">
        <v>21</v>
      </c>
      <c r="BV25" s="110">
        <v>100</v>
      </c>
      <c r="BW25" s="75"/>
      <c r="BX25" s="18"/>
      <c r="BY25" s="110">
        <f>AH25+2</f>
        <v>93</v>
      </c>
      <c r="BZ25" s="75"/>
      <c r="CA25" s="18"/>
      <c r="CB25" s="110">
        <v>100</v>
      </c>
      <c r="CC25" s="75"/>
      <c r="CD25" s="18"/>
      <c r="CE25" s="76"/>
      <c r="CF25" s="75"/>
      <c r="CG25" s="18"/>
      <c r="CH25" s="78">
        <v>21</v>
      </c>
      <c r="CI25" s="110">
        <v>100</v>
      </c>
      <c r="CJ25" s="75"/>
      <c r="CK25" s="18"/>
      <c r="CL25" s="110">
        <f>AH25+1</f>
        <v>92</v>
      </c>
      <c r="CM25" s="75"/>
      <c r="CN25" s="18"/>
      <c r="CO25" s="110">
        <v>100</v>
      </c>
      <c r="CP25" s="75"/>
      <c r="CQ25" s="18"/>
      <c r="CR25" s="76"/>
      <c r="CS25" s="75"/>
      <c r="CT25" s="18"/>
      <c r="CU25" s="78">
        <v>21</v>
      </c>
      <c r="CV25" s="79">
        <f>(AV25+AY25+BB25+BE25)/4</f>
        <v>72.75</v>
      </c>
      <c r="CW25" s="79">
        <f>(BI25+BL25+BO25+BR25)/4</f>
        <v>72.25</v>
      </c>
      <c r="CX25" s="79">
        <f>(BV25+BY25+CB25+CE25)/4</f>
        <v>73.25</v>
      </c>
      <c r="CY25" s="79">
        <f>(CI25+CL25+CO25+CR25)/4</f>
        <v>73</v>
      </c>
      <c r="CZ25" s="18"/>
      <c r="DA25" s="80">
        <f>SUM(CV25:CY25)/4</f>
        <v>72.8125</v>
      </c>
      <c r="DB25" s="18"/>
      <c r="DC25" s="79">
        <f>DA25*0.5</f>
        <v>36.40625</v>
      </c>
      <c r="DD25" s="75"/>
      <c r="DE25" s="79">
        <f>DD25*0.5</f>
        <v>0</v>
      </c>
      <c r="DF25" s="81">
        <f>DE25+DC25</f>
        <v>36.40625</v>
      </c>
      <c r="DG25" s="18"/>
      <c r="DH25" s="79">
        <f>DA25*0.3</f>
        <v>21.84375</v>
      </c>
      <c r="DI25" s="75"/>
      <c r="DJ25" s="79">
        <f>DI25*0.7</f>
        <v>0</v>
      </c>
      <c r="DK25" s="81">
        <f>DJ25+DH25</f>
        <v>21.84375</v>
      </c>
    </row>
    <row r="26" ht="26.25" customHeight="1">
      <c r="A26" s="68"/>
      <c r="B26" s="69">
        <v>22</v>
      </c>
      <c r="C26" t="s" s="70">
        <v>447</v>
      </c>
      <c r="D26" t="s" s="71">
        <v>448</v>
      </c>
      <c r="E26" t="s" s="72">
        <v>43</v>
      </c>
      <c r="F26" s="82"/>
      <c r="G26" s="75"/>
      <c r="H26" t="s" s="83">
        <v>161</v>
      </c>
      <c r="I26" t="s" s="72">
        <v>43</v>
      </c>
      <c r="J26" t="s" s="227">
        <v>43</v>
      </c>
      <c r="K26" t="s" s="211">
        <v>43</v>
      </c>
      <c r="L26" s="79">
        <v>10</v>
      </c>
      <c r="M26" s="163">
        <v>8</v>
      </c>
      <c r="N26" s="165">
        <v>10</v>
      </c>
      <c r="O26" s="79">
        <v>7</v>
      </c>
      <c r="P26" s="79">
        <v>8</v>
      </c>
      <c r="Q26" s="79">
        <v>8</v>
      </c>
      <c r="R26" s="79">
        <v>8</v>
      </c>
      <c r="S26" s="79">
        <v>10</v>
      </c>
      <c r="T26" s="79">
        <v>18</v>
      </c>
      <c r="U26" s="79">
        <v>0</v>
      </c>
      <c r="V26" s="233">
        <f>L26+M26+N26+O26+P26+Q26+R26+S26+T26+U26</f>
        <v>87</v>
      </c>
      <c r="W26" s="75"/>
      <c r="X26" s="163">
        <v>15</v>
      </c>
      <c r="Y26" s="165">
        <v>10</v>
      </c>
      <c r="Z26" s="163">
        <v>8</v>
      </c>
      <c r="AA26" s="165">
        <v>10</v>
      </c>
      <c r="AB26" s="79">
        <v>18</v>
      </c>
      <c r="AC26" s="145">
        <v>15</v>
      </c>
      <c r="AD26" s="79">
        <v>5</v>
      </c>
      <c r="AE26" s="110">
        <v>5</v>
      </c>
      <c r="AF26" s="75"/>
      <c r="AG26" s="79">
        <v>12</v>
      </c>
      <c r="AH26" s="111">
        <f>Y26+Z26+AA26+AB26+AC26+AD26+AE26+AF26+AG26+X26</f>
        <v>98</v>
      </c>
      <c r="AI26" s="76"/>
      <c r="AJ26" s="78">
        <v>22</v>
      </c>
      <c r="AK26" s="110">
        <v>10</v>
      </c>
      <c r="AL26" s="79">
        <v>17</v>
      </c>
      <c r="AM26" s="110">
        <v>20</v>
      </c>
      <c r="AN26" s="79">
        <v>0</v>
      </c>
      <c r="AO26" s="79">
        <v>8</v>
      </c>
      <c r="AP26" s="110">
        <v>7</v>
      </c>
      <c r="AQ26" s="79">
        <v>0</v>
      </c>
      <c r="AR26" s="110">
        <v>10</v>
      </c>
      <c r="AS26" s="79">
        <f>SUM(AK26:AR26)</f>
        <v>72</v>
      </c>
      <c r="AT26" s="18"/>
      <c r="AU26" s="78">
        <v>22</v>
      </c>
      <c r="AV26" s="110">
        <f>AS26+0</f>
        <v>72</v>
      </c>
      <c r="AW26" s="75"/>
      <c r="AX26" s="18"/>
      <c r="AY26" s="110">
        <f>AH26</f>
        <v>98</v>
      </c>
      <c r="AZ26" s="75"/>
      <c r="BA26" s="18"/>
      <c r="BB26" s="110">
        <f>V26</f>
        <v>87</v>
      </c>
      <c r="BC26" s="75"/>
      <c r="BD26" s="18"/>
      <c r="BE26" s="76"/>
      <c r="BF26" s="75"/>
      <c r="BG26" s="18"/>
      <c r="BH26" s="78">
        <v>22</v>
      </c>
      <c r="BI26" s="110">
        <f>AS26-1</f>
        <v>71</v>
      </c>
      <c r="BJ26" s="75"/>
      <c r="BK26" s="18"/>
      <c r="BL26" s="110">
        <f>AH26-1</f>
        <v>97</v>
      </c>
      <c r="BM26" s="75"/>
      <c r="BN26" s="18"/>
      <c r="BO26" s="110">
        <f>V26-1</f>
        <v>86</v>
      </c>
      <c r="BP26" s="75"/>
      <c r="BQ26" s="18"/>
      <c r="BR26" s="76"/>
      <c r="BS26" s="75"/>
      <c r="BT26" s="18"/>
      <c r="BU26" s="78">
        <v>22</v>
      </c>
      <c r="BV26" s="110">
        <f>AS26+2</f>
        <v>74</v>
      </c>
      <c r="BW26" s="75"/>
      <c r="BX26" s="18"/>
      <c r="BY26" s="110">
        <f>AH26+2</f>
        <v>100</v>
      </c>
      <c r="BZ26" s="75"/>
      <c r="CA26" s="18"/>
      <c r="CB26" s="110">
        <f>V26+2</f>
        <v>89</v>
      </c>
      <c r="CC26" s="75"/>
      <c r="CD26" s="18"/>
      <c r="CE26" s="76"/>
      <c r="CF26" s="75"/>
      <c r="CG26" s="18"/>
      <c r="CH26" s="78">
        <v>22</v>
      </c>
      <c r="CI26" s="110">
        <f>AS26+1</f>
        <v>73</v>
      </c>
      <c r="CJ26" s="75"/>
      <c r="CK26" s="18"/>
      <c r="CL26" s="110">
        <f>AH26+1</f>
        <v>99</v>
      </c>
      <c r="CM26" s="75"/>
      <c r="CN26" s="18"/>
      <c r="CO26" s="110">
        <f>V26+1</f>
        <v>88</v>
      </c>
      <c r="CP26" s="75"/>
      <c r="CQ26" s="18"/>
      <c r="CR26" s="76"/>
      <c r="CS26" s="75"/>
      <c r="CT26" s="18"/>
      <c r="CU26" s="78">
        <v>22</v>
      </c>
      <c r="CV26" s="79">
        <f>(AV26+AY26+BB26+BE26)/4</f>
        <v>64.25</v>
      </c>
      <c r="CW26" s="79">
        <f>(BI26+BL26+BO26+BR26)/4</f>
        <v>63.5</v>
      </c>
      <c r="CX26" s="79">
        <f>(BV26+BY26+CB26+CE26)/4</f>
        <v>65.75</v>
      </c>
      <c r="CY26" s="79">
        <f>(CI26+CL26+CO26+CR26)/4</f>
        <v>65</v>
      </c>
      <c r="CZ26" s="18"/>
      <c r="DA26" s="80">
        <f>SUM(CV26:CY26)/4</f>
        <v>64.625</v>
      </c>
      <c r="DB26" s="18"/>
      <c r="DC26" s="79">
        <f>DA26*0.5</f>
        <v>32.3125</v>
      </c>
      <c r="DD26" s="75"/>
      <c r="DE26" s="79">
        <f>DD26*0.5</f>
        <v>0</v>
      </c>
      <c r="DF26" s="81">
        <f>DE26+DC26</f>
        <v>32.3125</v>
      </c>
      <c r="DG26" s="18"/>
      <c r="DH26" s="79">
        <f>DA26*0.3</f>
        <v>19.3875</v>
      </c>
      <c r="DI26" s="75"/>
      <c r="DJ26" s="79">
        <f>DI26*0.7</f>
        <v>0</v>
      </c>
      <c r="DK26" s="81">
        <f>DJ26+DH26</f>
        <v>19.3875</v>
      </c>
    </row>
    <row r="27" ht="26.25" customHeight="1">
      <c r="A27" s="68"/>
      <c r="B27" s="69">
        <v>23</v>
      </c>
      <c r="C27" t="s" s="70">
        <v>449</v>
      </c>
      <c r="D27" t="s" s="71">
        <v>450</v>
      </c>
      <c r="E27" t="s" s="72">
        <v>161</v>
      </c>
      <c r="F27" s="82"/>
      <c r="G27" s="75"/>
      <c r="H27" t="s" s="83">
        <v>43</v>
      </c>
      <c r="I27" t="s" s="72">
        <v>43</v>
      </c>
      <c r="J27" t="s" s="227">
        <v>43</v>
      </c>
      <c r="K27" t="s" s="211">
        <v>161</v>
      </c>
      <c r="L27" s="79">
        <v>10</v>
      </c>
      <c r="M27" s="163">
        <v>8</v>
      </c>
      <c r="N27" s="165">
        <v>8</v>
      </c>
      <c r="O27" s="79">
        <v>7</v>
      </c>
      <c r="P27" s="79">
        <v>8</v>
      </c>
      <c r="Q27" s="79">
        <v>9</v>
      </c>
      <c r="R27" s="79">
        <v>9</v>
      </c>
      <c r="S27" s="79">
        <v>10</v>
      </c>
      <c r="T27" s="79">
        <v>20</v>
      </c>
      <c r="U27" s="79">
        <v>10</v>
      </c>
      <c r="V27" s="233">
        <f>L27+M27+N27+O27+P27+Q27+R27+S27+T27+U27</f>
        <v>99</v>
      </c>
      <c r="W27" s="75"/>
      <c r="X27" s="74"/>
      <c r="Y27" s="165">
        <v>10</v>
      </c>
      <c r="Z27" s="163">
        <v>8</v>
      </c>
      <c r="AA27" s="165">
        <v>8</v>
      </c>
      <c r="AB27" s="75"/>
      <c r="AC27" s="145">
        <v>15</v>
      </c>
      <c r="AD27" s="75"/>
      <c r="AE27" s="76"/>
      <c r="AF27" s="75"/>
      <c r="AG27" s="79">
        <v>12</v>
      </c>
      <c r="AH27" s="111">
        <f>Y27+Z27+AA27+AB27+AC27+AD27+AE27+AF27+AG27+X27</f>
        <v>53</v>
      </c>
      <c r="AI27" s="76"/>
      <c r="AJ27" s="78">
        <v>23</v>
      </c>
      <c r="AK27" s="110">
        <v>10</v>
      </c>
      <c r="AL27" s="79">
        <v>15</v>
      </c>
      <c r="AM27" s="110">
        <v>20</v>
      </c>
      <c r="AN27" s="75"/>
      <c r="AO27" s="79">
        <v>10</v>
      </c>
      <c r="AP27" s="76"/>
      <c r="AQ27" s="79">
        <v>4</v>
      </c>
      <c r="AR27" s="110">
        <v>10</v>
      </c>
      <c r="AS27" s="79">
        <f>SUM(AK27:AR27)</f>
        <v>69</v>
      </c>
      <c r="AT27" s="112">
        <v>70</v>
      </c>
      <c r="AU27" s="78">
        <v>23</v>
      </c>
      <c r="AV27" s="110">
        <f>AS27+0</f>
        <v>69</v>
      </c>
      <c r="AW27" s="79">
        <v>69</v>
      </c>
      <c r="AX27" s="18"/>
      <c r="AY27" s="110">
        <f>AH27</f>
        <v>53</v>
      </c>
      <c r="AZ27" s="79">
        <v>85</v>
      </c>
      <c r="BA27" s="18"/>
      <c r="BB27" s="110">
        <f>V27</f>
        <v>99</v>
      </c>
      <c r="BC27" s="75"/>
      <c r="BD27" s="18"/>
      <c r="BE27" s="76"/>
      <c r="BF27" s="75"/>
      <c r="BG27" s="18"/>
      <c r="BH27" s="78">
        <v>23</v>
      </c>
      <c r="BI27" s="110">
        <f>AS27-1</f>
        <v>68</v>
      </c>
      <c r="BJ27" s="79">
        <v>69</v>
      </c>
      <c r="BK27" s="18"/>
      <c r="BL27" s="110">
        <f>AH27-1</f>
        <v>52</v>
      </c>
      <c r="BM27" s="79">
        <v>85</v>
      </c>
      <c r="BN27" s="18"/>
      <c r="BO27" s="110">
        <f>V27-1</f>
        <v>98</v>
      </c>
      <c r="BP27" s="75"/>
      <c r="BQ27" s="18"/>
      <c r="BR27" s="76"/>
      <c r="BS27" s="75"/>
      <c r="BT27" s="18"/>
      <c r="BU27" s="78">
        <v>23</v>
      </c>
      <c r="BV27" s="110">
        <f>AS27+2</f>
        <v>71</v>
      </c>
      <c r="BW27" s="75"/>
      <c r="BX27" s="18"/>
      <c r="BY27" s="110">
        <f>AH27+2</f>
        <v>55</v>
      </c>
      <c r="BZ27" s="79">
        <v>85</v>
      </c>
      <c r="CA27" s="18"/>
      <c r="CB27" s="110">
        <v>100</v>
      </c>
      <c r="CC27" s="75"/>
      <c r="CD27" s="18"/>
      <c r="CE27" s="76"/>
      <c r="CF27" s="75"/>
      <c r="CG27" s="18"/>
      <c r="CH27" s="78">
        <v>23</v>
      </c>
      <c r="CI27" s="110">
        <f>AS27+1</f>
        <v>70</v>
      </c>
      <c r="CJ27" s="75"/>
      <c r="CK27" s="18"/>
      <c r="CL27" s="110">
        <f>AH27+1</f>
        <v>54</v>
      </c>
      <c r="CM27" s="79">
        <v>85</v>
      </c>
      <c r="CN27" s="18"/>
      <c r="CO27" s="110">
        <f>V27+1</f>
        <v>100</v>
      </c>
      <c r="CP27" s="75"/>
      <c r="CQ27" s="18"/>
      <c r="CR27" s="76"/>
      <c r="CS27" s="75"/>
      <c r="CT27" s="18"/>
      <c r="CU27" s="78">
        <v>23</v>
      </c>
      <c r="CV27" s="79">
        <f>(AV27+AY27+BB27+BE27)/4</f>
        <v>55.25</v>
      </c>
      <c r="CW27" s="79">
        <f>(BI27+BL27+BO27+BR27)/4</f>
        <v>54.5</v>
      </c>
      <c r="CX27" s="79">
        <f>(BV27+BY27+CB27+CE27)/4</f>
        <v>56.5</v>
      </c>
      <c r="CY27" s="79">
        <f>(CI27+CL27+CO27+CR27)/4</f>
        <v>56</v>
      </c>
      <c r="CZ27" s="18"/>
      <c r="DA27" s="80">
        <f>SUM(CV27:CY27)/4</f>
        <v>55.5625</v>
      </c>
      <c r="DB27" s="18"/>
      <c r="DC27" s="79">
        <f>DA27*0.5</f>
        <v>27.78125</v>
      </c>
      <c r="DD27" s="75"/>
      <c r="DE27" s="79">
        <f>DD27*0.5</f>
        <v>0</v>
      </c>
      <c r="DF27" s="81">
        <f>DE27+DC27</f>
        <v>27.78125</v>
      </c>
      <c r="DG27" s="18"/>
      <c r="DH27" s="79">
        <f>DA27*0.3</f>
        <v>16.66875</v>
      </c>
      <c r="DI27" s="75"/>
      <c r="DJ27" s="79">
        <f>DI27*0.7</f>
        <v>0</v>
      </c>
      <c r="DK27" s="81">
        <f>DJ27+DH27</f>
        <v>16.66875</v>
      </c>
    </row>
    <row r="28" ht="26.25" customHeight="1">
      <c r="A28" s="68"/>
      <c r="B28" s="69">
        <v>24</v>
      </c>
      <c r="C28" t="s" s="70">
        <v>451</v>
      </c>
      <c r="D28" t="s" s="71">
        <v>452</v>
      </c>
      <c r="E28" t="s" s="72">
        <v>161</v>
      </c>
      <c r="F28" s="82"/>
      <c r="G28" s="75"/>
      <c r="H28" t="s" s="83">
        <v>161</v>
      </c>
      <c r="I28" t="s" s="72">
        <v>43</v>
      </c>
      <c r="J28" t="s" s="227">
        <v>43</v>
      </c>
      <c r="K28" t="s" s="211">
        <v>161</v>
      </c>
      <c r="L28" s="79">
        <v>8</v>
      </c>
      <c r="M28" s="163">
        <v>8</v>
      </c>
      <c r="N28" s="165">
        <v>10</v>
      </c>
      <c r="O28" s="79">
        <v>8</v>
      </c>
      <c r="P28" s="79">
        <v>8</v>
      </c>
      <c r="Q28" s="79">
        <v>9</v>
      </c>
      <c r="R28" s="79">
        <v>8</v>
      </c>
      <c r="S28" s="79">
        <v>10</v>
      </c>
      <c r="T28" s="79">
        <v>20</v>
      </c>
      <c r="U28" s="79">
        <v>10</v>
      </c>
      <c r="V28" s="233">
        <f>L28+M28+N28+O28+P28+Q28+R28+S28+T28+U28</f>
        <v>99</v>
      </c>
      <c r="W28" s="75"/>
      <c r="X28" s="74"/>
      <c r="Y28" s="165">
        <v>10</v>
      </c>
      <c r="Z28" s="163">
        <v>8</v>
      </c>
      <c r="AA28" s="165">
        <v>10</v>
      </c>
      <c r="AB28" s="79">
        <v>19</v>
      </c>
      <c r="AC28" s="145">
        <v>15</v>
      </c>
      <c r="AD28" s="79">
        <v>5</v>
      </c>
      <c r="AE28" s="110">
        <v>5</v>
      </c>
      <c r="AF28" s="79">
        <v>5</v>
      </c>
      <c r="AG28" s="79">
        <v>12</v>
      </c>
      <c r="AH28" s="111">
        <f>Y28+Z28+AA28+AB28+AC28+AD28+AE28+AF28+AG28+X28</f>
        <v>89</v>
      </c>
      <c r="AI28" s="76"/>
      <c r="AJ28" s="78">
        <v>24</v>
      </c>
      <c r="AK28" s="110">
        <v>10</v>
      </c>
      <c r="AL28" s="79">
        <v>19</v>
      </c>
      <c r="AM28" s="110">
        <v>20</v>
      </c>
      <c r="AN28" s="79">
        <v>10</v>
      </c>
      <c r="AO28" s="79">
        <v>14</v>
      </c>
      <c r="AP28" s="110">
        <v>10</v>
      </c>
      <c r="AQ28" s="79">
        <v>5</v>
      </c>
      <c r="AR28" s="110">
        <v>10</v>
      </c>
      <c r="AS28" s="79">
        <f>SUM(AK28:AR28)</f>
        <v>98</v>
      </c>
      <c r="AT28" s="18"/>
      <c r="AU28" s="78">
        <v>24</v>
      </c>
      <c r="AV28" s="110">
        <f>AS28+0</f>
        <v>98</v>
      </c>
      <c r="AW28" s="75"/>
      <c r="AX28" s="18"/>
      <c r="AY28" s="110">
        <f>AH28</f>
        <v>89</v>
      </c>
      <c r="AZ28" s="75"/>
      <c r="BA28" s="18"/>
      <c r="BB28" s="110">
        <f>V28</f>
        <v>99</v>
      </c>
      <c r="BC28" s="75"/>
      <c r="BD28" s="18"/>
      <c r="BE28" s="76"/>
      <c r="BF28" s="75"/>
      <c r="BG28" s="18"/>
      <c r="BH28" s="78">
        <v>24</v>
      </c>
      <c r="BI28" s="110">
        <f>AS28-1</f>
        <v>97</v>
      </c>
      <c r="BJ28" s="75"/>
      <c r="BK28" s="18"/>
      <c r="BL28" s="110">
        <f>AH28-1</f>
        <v>88</v>
      </c>
      <c r="BM28" s="75"/>
      <c r="BN28" s="18"/>
      <c r="BO28" s="110">
        <f>V28-1</f>
        <v>98</v>
      </c>
      <c r="BP28" s="75"/>
      <c r="BQ28" s="18"/>
      <c r="BR28" s="76"/>
      <c r="BS28" s="75"/>
      <c r="BT28" s="18"/>
      <c r="BU28" s="78">
        <v>24</v>
      </c>
      <c r="BV28" s="110">
        <f>AS28+2</f>
        <v>100</v>
      </c>
      <c r="BW28" s="75"/>
      <c r="BX28" s="18"/>
      <c r="BY28" s="110">
        <f>AH28+2</f>
        <v>91</v>
      </c>
      <c r="BZ28" s="75"/>
      <c r="CA28" s="18"/>
      <c r="CB28" s="110">
        <v>100</v>
      </c>
      <c r="CC28" s="75"/>
      <c r="CD28" s="18"/>
      <c r="CE28" s="76"/>
      <c r="CF28" s="75"/>
      <c r="CG28" s="18"/>
      <c r="CH28" s="78">
        <v>24</v>
      </c>
      <c r="CI28" s="110">
        <f>AS28+1</f>
        <v>99</v>
      </c>
      <c r="CJ28" s="75"/>
      <c r="CK28" s="18"/>
      <c r="CL28" s="110">
        <f>AH28+1</f>
        <v>90</v>
      </c>
      <c r="CM28" s="75"/>
      <c r="CN28" s="18"/>
      <c r="CO28" s="110">
        <f>V28+1</f>
        <v>100</v>
      </c>
      <c r="CP28" s="75"/>
      <c r="CQ28" s="18"/>
      <c r="CR28" s="76"/>
      <c r="CS28" s="75"/>
      <c r="CT28" s="18"/>
      <c r="CU28" s="78">
        <v>24</v>
      </c>
      <c r="CV28" s="79">
        <f>(AV28+AY28+BB28+BE28)/4</f>
        <v>71.5</v>
      </c>
      <c r="CW28" s="79">
        <f>(BI28+BL28+BO28+BR28)/4</f>
        <v>70.75</v>
      </c>
      <c r="CX28" s="79">
        <f>(BV28+BY28+CB28+CE28)/4</f>
        <v>72.75</v>
      </c>
      <c r="CY28" s="79">
        <f>(CI28+CL28+CO28+CR28)/4</f>
        <v>72.25</v>
      </c>
      <c r="CZ28" s="18"/>
      <c r="DA28" s="80">
        <f>SUM(CV28:CY28)/4</f>
        <v>71.8125</v>
      </c>
      <c r="DB28" s="18"/>
      <c r="DC28" s="79">
        <f>DA28*0.5</f>
        <v>35.90625</v>
      </c>
      <c r="DD28" s="75"/>
      <c r="DE28" s="79">
        <f>DD28*0.5</f>
        <v>0</v>
      </c>
      <c r="DF28" s="81">
        <f>DE28+DC28</f>
        <v>35.90625</v>
      </c>
      <c r="DG28" s="18"/>
      <c r="DH28" s="79">
        <f>DA28*0.3</f>
        <v>21.54375</v>
      </c>
      <c r="DI28" s="75"/>
      <c r="DJ28" s="79">
        <f>DI28*0.7</f>
        <v>0</v>
      </c>
      <c r="DK28" s="81">
        <f>DJ28+DH28</f>
        <v>21.54375</v>
      </c>
    </row>
    <row r="29" ht="26.25" customHeight="1">
      <c r="A29" s="68"/>
      <c r="B29" s="69">
        <v>25</v>
      </c>
      <c r="C29" t="s" s="70">
        <v>453</v>
      </c>
      <c r="D29" t="s" s="71">
        <v>454</v>
      </c>
      <c r="E29" t="s" s="72">
        <v>43</v>
      </c>
      <c r="F29" s="82"/>
      <c r="G29" s="75"/>
      <c r="H29" t="s" s="83">
        <v>43</v>
      </c>
      <c r="I29" t="s" s="72">
        <v>43</v>
      </c>
      <c r="J29" t="s" s="227">
        <v>43</v>
      </c>
      <c r="K29" t="s" s="211">
        <v>43</v>
      </c>
      <c r="L29" s="79">
        <v>10</v>
      </c>
      <c r="M29" s="163">
        <v>10</v>
      </c>
      <c r="N29" s="165">
        <v>10</v>
      </c>
      <c r="O29" s="79">
        <v>7</v>
      </c>
      <c r="P29" s="79">
        <v>9</v>
      </c>
      <c r="Q29" s="79">
        <v>8.5</v>
      </c>
      <c r="R29" s="79">
        <v>9</v>
      </c>
      <c r="S29" s="163">
        <v>10</v>
      </c>
      <c r="T29" s="215">
        <v>18</v>
      </c>
      <c r="U29" s="238">
        <v>10</v>
      </c>
      <c r="V29" s="233">
        <f>L29+M29+N29+O29+P29+Q29+R29+S29+T29+U29</f>
        <v>101.5</v>
      </c>
      <c r="W29" s="75"/>
      <c r="X29" s="74"/>
      <c r="Y29" s="165">
        <v>10</v>
      </c>
      <c r="Z29" s="163">
        <v>10</v>
      </c>
      <c r="AA29" s="165">
        <v>10</v>
      </c>
      <c r="AB29" s="79">
        <v>17</v>
      </c>
      <c r="AC29" s="145">
        <v>15</v>
      </c>
      <c r="AD29" s="79">
        <v>5</v>
      </c>
      <c r="AE29" s="110">
        <v>5</v>
      </c>
      <c r="AF29" s="79">
        <v>5</v>
      </c>
      <c r="AG29" s="79">
        <v>12</v>
      </c>
      <c r="AH29" s="111">
        <f>Y29+Z29+AA29+AB29+AC29+AD29+AE29+AF29+AG29+X29</f>
        <v>89</v>
      </c>
      <c r="AI29" s="76"/>
      <c r="AJ29" s="78">
        <v>25</v>
      </c>
      <c r="AK29" s="110">
        <v>10</v>
      </c>
      <c r="AL29" s="79">
        <v>20</v>
      </c>
      <c r="AM29" s="110">
        <v>20</v>
      </c>
      <c r="AN29" s="79">
        <v>10</v>
      </c>
      <c r="AO29" s="79">
        <v>15</v>
      </c>
      <c r="AP29" s="110">
        <v>10</v>
      </c>
      <c r="AQ29" s="79">
        <v>5</v>
      </c>
      <c r="AR29" s="110">
        <v>10</v>
      </c>
      <c r="AS29" s="79">
        <f>SUM(AK29:AR29)</f>
        <v>100</v>
      </c>
      <c r="AT29" s="18"/>
      <c r="AU29" s="78">
        <v>25</v>
      </c>
      <c r="AV29" s="110">
        <f>AS29+0</f>
        <v>100</v>
      </c>
      <c r="AW29" s="75"/>
      <c r="AX29" s="18"/>
      <c r="AY29" s="110">
        <f>AH29</f>
        <v>89</v>
      </c>
      <c r="AZ29" s="75"/>
      <c r="BA29" s="18"/>
      <c r="BB29" s="110">
        <v>100</v>
      </c>
      <c r="BC29" s="75"/>
      <c r="BD29" s="18"/>
      <c r="BE29" s="76"/>
      <c r="BF29" s="75"/>
      <c r="BG29" s="18"/>
      <c r="BH29" s="78">
        <v>25</v>
      </c>
      <c r="BI29" s="110">
        <f>AS29-1</f>
        <v>99</v>
      </c>
      <c r="BJ29" s="75"/>
      <c r="BK29" s="18"/>
      <c r="BL29" s="110">
        <f>AH29-1</f>
        <v>88</v>
      </c>
      <c r="BM29" s="75"/>
      <c r="BN29" s="18"/>
      <c r="BO29" s="110">
        <v>100</v>
      </c>
      <c r="BP29" s="75"/>
      <c r="BQ29" s="18"/>
      <c r="BR29" s="76"/>
      <c r="BS29" s="75"/>
      <c r="BT29" s="18"/>
      <c r="BU29" s="78">
        <v>25</v>
      </c>
      <c r="BV29" s="110">
        <f>AS29+2</f>
        <v>102</v>
      </c>
      <c r="BW29" s="75"/>
      <c r="BX29" s="18"/>
      <c r="BY29" s="110">
        <f>AH29+2</f>
        <v>91</v>
      </c>
      <c r="BZ29" s="75"/>
      <c r="CA29" s="18"/>
      <c r="CB29" s="110">
        <v>100</v>
      </c>
      <c r="CC29" s="75"/>
      <c r="CD29" s="18"/>
      <c r="CE29" s="76"/>
      <c r="CF29" s="75"/>
      <c r="CG29" s="18"/>
      <c r="CH29" s="78">
        <v>25</v>
      </c>
      <c r="CI29" s="110">
        <v>100</v>
      </c>
      <c r="CJ29" s="75"/>
      <c r="CK29" s="18"/>
      <c r="CL29" s="110">
        <f>AH29+1</f>
        <v>90</v>
      </c>
      <c r="CM29" s="75"/>
      <c r="CN29" s="18"/>
      <c r="CO29" s="110">
        <v>100</v>
      </c>
      <c r="CP29" s="75"/>
      <c r="CQ29" s="18"/>
      <c r="CR29" s="76"/>
      <c r="CS29" s="75"/>
      <c r="CT29" s="18"/>
      <c r="CU29" s="78">
        <v>25</v>
      </c>
      <c r="CV29" s="79">
        <f>(AV29+AY29+BB29+BE29)/4</f>
        <v>72.25</v>
      </c>
      <c r="CW29" s="79">
        <f>(BI29+BL29+BO29+BR29)/4</f>
        <v>71.75</v>
      </c>
      <c r="CX29" s="79">
        <f>(BV29+BY29+CB29+CE29)/4</f>
        <v>73.25</v>
      </c>
      <c r="CY29" s="79">
        <f>(CI29+CL29+CO29+CR29)/4</f>
        <v>72.5</v>
      </c>
      <c r="CZ29" s="18"/>
      <c r="DA29" s="80">
        <f>SUM(CV29:CY29)/4</f>
        <v>72.4375</v>
      </c>
      <c r="DB29" s="18"/>
      <c r="DC29" s="79">
        <f>DA29*0.5</f>
        <v>36.21875</v>
      </c>
      <c r="DD29" s="75"/>
      <c r="DE29" s="79">
        <f>DD29*0.5</f>
        <v>0</v>
      </c>
      <c r="DF29" s="81">
        <f>DE29+DC29</f>
        <v>36.21875</v>
      </c>
      <c r="DG29" s="18"/>
      <c r="DH29" s="79">
        <f>DA29*0.3</f>
        <v>21.73125</v>
      </c>
      <c r="DI29" s="75"/>
      <c r="DJ29" s="79">
        <f>DI29*0.7</f>
        <v>0</v>
      </c>
      <c r="DK29" s="81">
        <f>DJ29+DH29</f>
        <v>21.73125</v>
      </c>
    </row>
    <row r="30" ht="26.25" customHeight="1">
      <c r="A30" s="68"/>
      <c r="B30" s="69">
        <v>26</v>
      </c>
      <c r="C30" t="s" s="70">
        <v>453</v>
      </c>
      <c r="D30" t="s" s="71">
        <v>455</v>
      </c>
      <c r="E30" t="s" s="72">
        <v>43</v>
      </c>
      <c r="F30" s="82"/>
      <c r="G30" s="75"/>
      <c r="H30" t="s" s="83">
        <v>43</v>
      </c>
      <c r="I30" t="s" s="72">
        <v>43</v>
      </c>
      <c r="J30" t="s" s="227">
        <v>43</v>
      </c>
      <c r="K30" t="s" s="211">
        <v>43</v>
      </c>
      <c r="L30" s="79">
        <v>10</v>
      </c>
      <c r="M30" s="163">
        <v>10</v>
      </c>
      <c r="N30" s="165">
        <v>10</v>
      </c>
      <c r="O30" s="79">
        <v>7</v>
      </c>
      <c r="P30" s="79">
        <v>9</v>
      </c>
      <c r="Q30" s="79">
        <v>8.5</v>
      </c>
      <c r="R30" s="79">
        <v>9</v>
      </c>
      <c r="S30" s="79">
        <v>10</v>
      </c>
      <c r="T30" s="228">
        <v>12</v>
      </c>
      <c r="U30" s="228">
        <v>10</v>
      </c>
      <c r="V30" s="233">
        <f>L30+M30+N30+O30+P30+Q30+R30+S30+T30+U30</f>
        <v>95.5</v>
      </c>
      <c r="W30" s="75"/>
      <c r="X30" s="74"/>
      <c r="Y30" s="165">
        <v>10</v>
      </c>
      <c r="Z30" s="163">
        <v>10</v>
      </c>
      <c r="AA30" s="165">
        <v>10</v>
      </c>
      <c r="AB30" s="79">
        <v>18</v>
      </c>
      <c r="AC30" s="145">
        <v>15</v>
      </c>
      <c r="AD30" s="79">
        <v>5</v>
      </c>
      <c r="AE30" s="110">
        <v>5</v>
      </c>
      <c r="AF30" s="79">
        <v>5</v>
      </c>
      <c r="AG30" s="79">
        <v>12</v>
      </c>
      <c r="AH30" s="111">
        <f>Y30+Z30+AA30+AB30+AC30+AD30+AE30+AF30+AG30+X30</f>
        <v>90</v>
      </c>
      <c r="AI30" s="76"/>
      <c r="AJ30" s="78">
        <v>26</v>
      </c>
      <c r="AK30" s="110">
        <v>10</v>
      </c>
      <c r="AL30" s="79">
        <v>20</v>
      </c>
      <c r="AM30" s="110">
        <v>20</v>
      </c>
      <c r="AN30" s="79">
        <v>10</v>
      </c>
      <c r="AO30" s="79">
        <v>15</v>
      </c>
      <c r="AP30" s="110">
        <v>10</v>
      </c>
      <c r="AQ30" s="79">
        <v>5</v>
      </c>
      <c r="AR30" s="110">
        <v>10</v>
      </c>
      <c r="AS30" s="79">
        <f>SUM(AK30:AR30)</f>
        <v>100</v>
      </c>
      <c r="AT30" s="18"/>
      <c r="AU30" s="78">
        <v>26</v>
      </c>
      <c r="AV30" s="110">
        <f>AS30+0</f>
        <v>100</v>
      </c>
      <c r="AW30" s="75"/>
      <c r="AX30" s="18"/>
      <c r="AY30" s="110">
        <f>AH30</f>
        <v>90</v>
      </c>
      <c r="AZ30" s="75"/>
      <c r="BA30" s="18"/>
      <c r="BB30" s="110">
        <f>V30</f>
        <v>95.5</v>
      </c>
      <c r="BC30" s="75"/>
      <c r="BD30" s="18"/>
      <c r="BE30" s="76"/>
      <c r="BF30" s="75"/>
      <c r="BG30" s="18"/>
      <c r="BH30" s="78">
        <v>26</v>
      </c>
      <c r="BI30" s="110">
        <f>AS30-1</f>
        <v>99</v>
      </c>
      <c r="BJ30" s="75"/>
      <c r="BK30" s="18"/>
      <c r="BL30" s="110">
        <f>AH30-1</f>
        <v>89</v>
      </c>
      <c r="BM30" s="75"/>
      <c r="BN30" s="18"/>
      <c r="BO30" s="110">
        <f>V30-1</f>
        <v>94.5</v>
      </c>
      <c r="BP30" s="75"/>
      <c r="BQ30" s="18"/>
      <c r="BR30" s="76"/>
      <c r="BS30" s="75"/>
      <c r="BT30" s="18"/>
      <c r="BU30" s="78">
        <v>26</v>
      </c>
      <c r="BV30" s="110">
        <v>100</v>
      </c>
      <c r="BW30" s="75"/>
      <c r="BX30" s="18"/>
      <c r="BY30" s="110">
        <f>AH30+2</f>
        <v>92</v>
      </c>
      <c r="BZ30" s="75"/>
      <c r="CA30" s="18"/>
      <c r="CB30" s="110">
        <f>V30+2</f>
        <v>97.5</v>
      </c>
      <c r="CC30" s="75"/>
      <c r="CD30" s="18"/>
      <c r="CE30" s="76"/>
      <c r="CF30" s="75"/>
      <c r="CG30" s="18"/>
      <c r="CH30" s="78">
        <v>26</v>
      </c>
      <c r="CI30" s="110">
        <v>100</v>
      </c>
      <c r="CJ30" s="75"/>
      <c r="CK30" s="18"/>
      <c r="CL30" s="110">
        <f>AH30+1</f>
        <v>91</v>
      </c>
      <c r="CM30" s="75"/>
      <c r="CN30" s="18"/>
      <c r="CO30" s="110">
        <f>V30+1</f>
        <v>96.5</v>
      </c>
      <c r="CP30" s="75"/>
      <c r="CQ30" s="18"/>
      <c r="CR30" s="76"/>
      <c r="CS30" s="75"/>
      <c r="CT30" s="18"/>
      <c r="CU30" s="78">
        <v>26</v>
      </c>
      <c r="CV30" s="79">
        <f>(AV30+AY30+BB30+BE30)/4</f>
        <v>71.375</v>
      </c>
      <c r="CW30" s="79">
        <f>(BI30+BL30+BO30+BR30)/4</f>
        <v>70.625</v>
      </c>
      <c r="CX30" s="79">
        <f>(BV30+BY30+CB30+CE30)/4</f>
        <v>72.375</v>
      </c>
      <c r="CY30" s="79">
        <f>(CI30+CL30+CO30+CR30)/4</f>
        <v>71.875</v>
      </c>
      <c r="CZ30" s="18"/>
      <c r="DA30" s="80">
        <f>SUM(CV30:CY30)/4</f>
        <v>71.5625</v>
      </c>
      <c r="DB30" s="18"/>
      <c r="DC30" s="79">
        <f>DA30*0.5</f>
        <v>35.78125</v>
      </c>
      <c r="DD30" s="75"/>
      <c r="DE30" s="79">
        <f>DD30*0.5</f>
        <v>0</v>
      </c>
      <c r="DF30" s="81">
        <f>DE30+DC30</f>
        <v>35.78125</v>
      </c>
      <c r="DG30" s="18"/>
      <c r="DH30" s="79">
        <f>DA30*0.3</f>
        <v>21.46875</v>
      </c>
      <c r="DI30" s="75"/>
      <c r="DJ30" s="79">
        <f>DI30*0.7</f>
        <v>0</v>
      </c>
      <c r="DK30" s="81">
        <f>DJ30+DH30</f>
        <v>21.46875</v>
      </c>
    </row>
    <row r="31" ht="26.25" customHeight="1">
      <c r="A31" s="68"/>
      <c r="B31" s="69">
        <v>27</v>
      </c>
      <c r="C31" t="s" s="70">
        <v>456</v>
      </c>
      <c r="D31" t="s" s="71">
        <v>457</v>
      </c>
      <c r="E31" t="s" s="72">
        <v>161</v>
      </c>
      <c r="F31" s="82"/>
      <c r="G31" s="75"/>
      <c r="H31" t="s" s="83">
        <v>161</v>
      </c>
      <c r="I31" t="s" s="72">
        <v>43</v>
      </c>
      <c r="J31" t="s" s="227">
        <v>43</v>
      </c>
      <c r="K31" t="s" s="211">
        <v>161</v>
      </c>
      <c r="L31" s="79">
        <v>8</v>
      </c>
      <c r="M31" s="163">
        <v>10</v>
      </c>
      <c r="N31" s="165">
        <v>5</v>
      </c>
      <c r="O31" s="79">
        <v>8</v>
      </c>
      <c r="P31" s="79">
        <v>8</v>
      </c>
      <c r="Q31" s="79">
        <v>9</v>
      </c>
      <c r="R31" s="79">
        <v>8</v>
      </c>
      <c r="S31" s="79">
        <v>10</v>
      </c>
      <c r="T31" s="75"/>
      <c r="U31" s="79">
        <v>7</v>
      </c>
      <c r="V31" s="233">
        <f>L31+M31+N31+O31+P31+Q31+R31+S31+T31+U31</f>
        <v>73</v>
      </c>
      <c r="W31" s="75"/>
      <c r="X31" s="163">
        <v>15</v>
      </c>
      <c r="Y31" s="165">
        <v>10</v>
      </c>
      <c r="Z31" s="163">
        <v>10</v>
      </c>
      <c r="AA31" s="165">
        <v>10</v>
      </c>
      <c r="AB31" s="75"/>
      <c r="AC31" s="145">
        <v>15</v>
      </c>
      <c r="AD31" s="75"/>
      <c r="AE31" s="76"/>
      <c r="AF31" s="75"/>
      <c r="AG31" s="79">
        <v>12</v>
      </c>
      <c r="AH31" s="111">
        <f>Y31+Z31+AA31+AB31+AC31+AD31+AE31+AF31+AG31+X31</f>
        <v>72</v>
      </c>
      <c r="AI31" s="76"/>
      <c r="AJ31" s="78">
        <v>27</v>
      </c>
      <c r="AK31" s="110">
        <v>10</v>
      </c>
      <c r="AL31" s="75"/>
      <c r="AM31" s="110">
        <v>20</v>
      </c>
      <c r="AN31" s="79">
        <v>10</v>
      </c>
      <c r="AO31" s="75"/>
      <c r="AP31" s="110">
        <v>10</v>
      </c>
      <c r="AQ31" s="75"/>
      <c r="AR31" s="110">
        <v>10</v>
      </c>
      <c r="AS31" s="79">
        <f>SUM(AK31:AR31)</f>
        <v>60</v>
      </c>
      <c r="AT31" t="s" s="129">
        <v>30</v>
      </c>
      <c r="AU31" s="78">
        <v>27</v>
      </c>
      <c r="AV31" s="110">
        <f>AS31+0</f>
        <v>60</v>
      </c>
      <c r="AW31" s="79">
        <v>65</v>
      </c>
      <c r="AX31" s="18"/>
      <c r="AY31" s="110">
        <f>AH31</f>
        <v>72</v>
      </c>
      <c r="AZ31" s="75"/>
      <c r="BA31" s="18"/>
      <c r="BB31" s="110">
        <f>V31</f>
        <v>73</v>
      </c>
      <c r="BC31" s="75"/>
      <c r="BD31" s="18"/>
      <c r="BE31" s="76"/>
      <c r="BF31" s="75"/>
      <c r="BG31" s="18"/>
      <c r="BH31" s="78">
        <v>27</v>
      </c>
      <c r="BI31" s="110">
        <f>AS31-1</f>
        <v>59</v>
      </c>
      <c r="BJ31" s="79">
        <v>65</v>
      </c>
      <c r="BK31" s="18"/>
      <c r="BL31" s="110">
        <f>AH31-1</f>
        <v>71</v>
      </c>
      <c r="BM31" s="75"/>
      <c r="BN31" s="18"/>
      <c r="BO31" s="110">
        <f>V31-1</f>
        <v>72</v>
      </c>
      <c r="BP31" s="75"/>
      <c r="BQ31" s="18"/>
      <c r="BR31" s="76"/>
      <c r="BS31" s="75"/>
      <c r="BT31" s="18"/>
      <c r="BU31" s="78">
        <v>27</v>
      </c>
      <c r="BV31" s="110">
        <f>AS31+2</f>
        <v>62</v>
      </c>
      <c r="BW31" s="79">
        <v>65</v>
      </c>
      <c r="BX31" s="18"/>
      <c r="BY31" s="110">
        <f>AH31+2</f>
        <v>74</v>
      </c>
      <c r="BZ31" s="75"/>
      <c r="CA31" s="18"/>
      <c r="CB31" s="110">
        <f>V31+2</f>
        <v>75</v>
      </c>
      <c r="CC31" s="75"/>
      <c r="CD31" s="18"/>
      <c r="CE31" s="76"/>
      <c r="CF31" s="75"/>
      <c r="CG31" s="18"/>
      <c r="CH31" s="78">
        <v>27</v>
      </c>
      <c r="CI31" s="110">
        <f>AS31+1</f>
        <v>61</v>
      </c>
      <c r="CJ31" s="79">
        <v>65</v>
      </c>
      <c r="CK31" s="18"/>
      <c r="CL31" s="110">
        <f>AH31+1</f>
        <v>73</v>
      </c>
      <c r="CM31" s="75"/>
      <c r="CN31" s="18"/>
      <c r="CO31" s="110">
        <f>V31+1</f>
        <v>74</v>
      </c>
      <c r="CP31" s="75"/>
      <c r="CQ31" s="18"/>
      <c r="CR31" s="76"/>
      <c r="CS31" s="75"/>
      <c r="CT31" s="18"/>
      <c r="CU31" s="78">
        <v>27</v>
      </c>
      <c r="CV31" s="79">
        <f>(AV31+AY31+BB31+BE31)/4</f>
        <v>51.25</v>
      </c>
      <c r="CW31" s="79">
        <f>(BI31+BL31+BO31+BR31)/4</f>
        <v>50.5</v>
      </c>
      <c r="CX31" s="79">
        <f>(BV31+BY31+CB31+CE31)/4</f>
        <v>52.75</v>
      </c>
      <c r="CY31" s="79">
        <f>(CI31+CL31+CO31+CR31)/4</f>
        <v>52</v>
      </c>
      <c r="CZ31" s="18"/>
      <c r="DA31" s="80">
        <f>SUM(CV31:CY31)/4</f>
        <v>51.625</v>
      </c>
      <c r="DB31" s="18"/>
      <c r="DC31" s="79">
        <f>DA31*0.5</f>
        <v>25.8125</v>
      </c>
      <c r="DD31" s="75"/>
      <c r="DE31" s="79">
        <f>DD31*0.5</f>
        <v>0</v>
      </c>
      <c r="DF31" s="81">
        <f>DE31+DC31</f>
        <v>25.8125</v>
      </c>
      <c r="DG31" s="18"/>
      <c r="DH31" s="79">
        <f>DA31*0.3</f>
        <v>15.4875</v>
      </c>
      <c r="DI31" s="75"/>
      <c r="DJ31" s="79">
        <f>DI31*0.7</f>
        <v>0</v>
      </c>
      <c r="DK31" s="81">
        <f>DJ31+DH31</f>
        <v>15.4875</v>
      </c>
    </row>
    <row r="32" ht="26.25" customHeight="1">
      <c r="A32" s="68"/>
      <c r="B32" s="69">
        <v>28</v>
      </c>
      <c r="C32" t="s" s="70">
        <v>458</v>
      </c>
      <c r="D32" t="s" s="71">
        <v>459</v>
      </c>
      <c r="E32" t="s" s="72">
        <v>161</v>
      </c>
      <c r="F32" s="82"/>
      <c r="G32" s="75"/>
      <c r="H32" t="s" s="83">
        <v>161</v>
      </c>
      <c r="I32" t="s" s="72">
        <v>43</v>
      </c>
      <c r="J32" t="s" s="227">
        <v>43</v>
      </c>
      <c r="K32" t="s" s="211">
        <v>161</v>
      </c>
      <c r="L32" s="79">
        <v>8</v>
      </c>
      <c r="M32" s="163">
        <v>9</v>
      </c>
      <c r="N32" s="165">
        <v>8</v>
      </c>
      <c r="O32" s="79">
        <v>9</v>
      </c>
      <c r="P32" s="79">
        <v>8</v>
      </c>
      <c r="Q32" s="79">
        <v>9</v>
      </c>
      <c r="R32" s="79">
        <v>9</v>
      </c>
      <c r="S32" s="79">
        <v>10</v>
      </c>
      <c r="T32" s="79">
        <v>19</v>
      </c>
      <c r="U32" s="79">
        <v>10</v>
      </c>
      <c r="V32" s="233">
        <f>L32+M32+N32+O32+P32+Q32+R32+S32+T32+U32</f>
        <v>99</v>
      </c>
      <c r="W32" s="75"/>
      <c r="X32" s="74"/>
      <c r="Y32" s="165">
        <v>10</v>
      </c>
      <c r="Z32" s="163">
        <v>9</v>
      </c>
      <c r="AA32" s="165">
        <v>8</v>
      </c>
      <c r="AB32" s="79">
        <v>19</v>
      </c>
      <c r="AC32" s="145">
        <v>15</v>
      </c>
      <c r="AD32" s="75"/>
      <c r="AE32" s="110">
        <v>5</v>
      </c>
      <c r="AF32" s="79">
        <v>5</v>
      </c>
      <c r="AG32" s="79">
        <v>12</v>
      </c>
      <c r="AH32" s="111">
        <f>Y32+Z32+AA32+AB32+AC32+AD32+AE32+AF32+AG32+X32</f>
        <v>83</v>
      </c>
      <c r="AI32" s="76"/>
      <c r="AJ32" s="78">
        <v>28</v>
      </c>
      <c r="AK32" s="110">
        <v>10</v>
      </c>
      <c r="AL32" s="79">
        <v>13</v>
      </c>
      <c r="AM32" s="110">
        <v>20</v>
      </c>
      <c r="AN32" s="79">
        <v>10</v>
      </c>
      <c r="AO32" s="79">
        <v>15</v>
      </c>
      <c r="AP32" s="110">
        <v>9</v>
      </c>
      <c r="AQ32" s="79">
        <v>5</v>
      </c>
      <c r="AR32" s="110">
        <v>10</v>
      </c>
      <c r="AS32" s="79">
        <f>SUM(AK32:AR32)</f>
        <v>92</v>
      </c>
      <c r="AT32" s="18"/>
      <c r="AU32" s="78">
        <v>28</v>
      </c>
      <c r="AV32" s="110">
        <f>AS32+0</f>
        <v>92</v>
      </c>
      <c r="AW32" s="75"/>
      <c r="AX32" s="18"/>
      <c r="AY32" s="110">
        <f>AH32</f>
        <v>83</v>
      </c>
      <c r="AZ32" s="75"/>
      <c r="BA32" s="18"/>
      <c r="BB32" s="110">
        <f>V32</f>
        <v>99</v>
      </c>
      <c r="BC32" s="75"/>
      <c r="BD32" s="18"/>
      <c r="BE32" s="76"/>
      <c r="BF32" s="75"/>
      <c r="BG32" s="18"/>
      <c r="BH32" s="78">
        <v>28</v>
      </c>
      <c r="BI32" s="110">
        <f>AS32-1</f>
        <v>91</v>
      </c>
      <c r="BJ32" s="75"/>
      <c r="BK32" s="18"/>
      <c r="BL32" s="110">
        <f>AH32-1</f>
        <v>82</v>
      </c>
      <c r="BM32" s="75"/>
      <c r="BN32" s="18"/>
      <c r="BO32" s="110">
        <f>V32-1</f>
        <v>98</v>
      </c>
      <c r="BP32" s="75"/>
      <c r="BQ32" s="18"/>
      <c r="BR32" s="76"/>
      <c r="BS32" s="75"/>
      <c r="BT32" s="18"/>
      <c r="BU32" s="78">
        <v>28</v>
      </c>
      <c r="BV32" s="110">
        <f>AS32+2</f>
        <v>94</v>
      </c>
      <c r="BW32" s="75"/>
      <c r="BX32" s="18"/>
      <c r="BY32" s="110">
        <f>AH32+2</f>
        <v>85</v>
      </c>
      <c r="BZ32" s="75"/>
      <c r="CA32" s="18"/>
      <c r="CB32" s="110">
        <v>100</v>
      </c>
      <c r="CC32" s="75"/>
      <c r="CD32" s="18"/>
      <c r="CE32" s="76"/>
      <c r="CF32" s="75"/>
      <c r="CG32" s="18"/>
      <c r="CH32" s="78">
        <v>28</v>
      </c>
      <c r="CI32" s="110">
        <f>AS32+1</f>
        <v>93</v>
      </c>
      <c r="CJ32" s="75"/>
      <c r="CK32" s="18"/>
      <c r="CL32" s="110">
        <f>AH32+1</f>
        <v>84</v>
      </c>
      <c r="CM32" s="75"/>
      <c r="CN32" s="18"/>
      <c r="CO32" s="110">
        <f>V32+1</f>
        <v>100</v>
      </c>
      <c r="CP32" s="75"/>
      <c r="CQ32" s="18"/>
      <c r="CR32" s="76"/>
      <c r="CS32" s="75"/>
      <c r="CT32" s="18"/>
      <c r="CU32" s="78">
        <v>28</v>
      </c>
      <c r="CV32" s="79">
        <f>(AV32+AY32+BB32+BE32)/4</f>
        <v>68.5</v>
      </c>
      <c r="CW32" s="79">
        <f>(BI32+BL32+BO32+BR32)/4</f>
        <v>67.75</v>
      </c>
      <c r="CX32" s="79">
        <f>(BV32+BY32+CB32+CE32)/4</f>
        <v>69.75</v>
      </c>
      <c r="CY32" s="79">
        <f>(CI32+CL32+CO32+CR32)/4</f>
        <v>69.25</v>
      </c>
      <c r="CZ32" s="18"/>
      <c r="DA32" s="80">
        <f>SUM(CV32:CY32)/4</f>
        <v>68.8125</v>
      </c>
      <c r="DB32" s="18"/>
      <c r="DC32" s="79">
        <f>DA32*0.5</f>
        <v>34.40625</v>
      </c>
      <c r="DD32" s="75"/>
      <c r="DE32" s="79">
        <f>DD32*0.5</f>
        <v>0</v>
      </c>
      <c r="DF32" s="81">
        <f>DE32+DC32</f>
        <v>34.40625</v>
      </c>
      <c r="DG32" s="18"/>
      <c r="DH32" s="79">
        <f>DA32*0.3</f>
        <v>20.64375</v>
      </c>
      <c r="DI32" s="75"/>
      <c r="DJ32" s="79">
        <f>DI32*0.7</f>
        <v>0</v>
      </c>
      <c r="DK32" s="81">
        <f>DJ32+DH32</f>
        <v>20.64375</v>
      </c>
    </row>
    <row r="33" ht="26.25" customHeight="1">
      <c r="A33" s="68"/>
      <c r="B33" s="69">
        <v>29</v>
      </c>
      <c r="C33" t="s" s="70">
        <v>460</v>
      </c>
      <c r="D33" t="s" s="71">
        <v>461</v>
      </c>
      <c r="E33" t="s" s="72">
        <v>43</v>
      </c>
      <c r="F33" s="82"/>
      <c r="G33" s="75"/>
      <c r="H33" t="s" s="83">
        <v>43</v>
      </c>
      <c r="I33" t="s" s="72">
        <v>43</v>
      </c>
      <c r="J33" t="s" s="227">
        <v>43</v>
      </c>
      <c r="K33" t="s" s="211">
        <v>43</v>
      </c>
      <c r="L33" s="79">
        <v>10</v>
      </c>
      <c r="M33" s="163">
        <v>9</v>
      </c>
      <c r="N33" s="165">
        <v>10</v>
      </c>
      <c r="O33" s="79">
        <v>7</v>
      </c>
      <c r="P33" s="79">
        <v>9</v>
      </c>
      <c r="Q33" s="79">
        <v>9</v>
      </c>
      <c r="R33" s="79">
        <v>8</v>
      </c>
      <c r="S33" s="163">
        <v>10</v>
      </c>
      <c r="T33" s="215">
        <v>20</v>
      </c>
      <c r="U33" s="238">
        <v>10</v>
      </c>
      <c r="V33" s="233">
        <f>L33+M33+N33+O33+P33+Q33+R33+S33+T33+U33</f>
        <v>102</v>
      </c>
      <c r="W33" s="75"/>
      <c r="X33" s="74"/>
      <c r="Y33" s="165">
        <v>10</v>
      </c>
      <c r="Z33" s="163">
        <v>9</v>
      </c>
      <c r="AA33" s="165">
        <v>10</v>
      </c>
      <c r="AB33" s="79">
        <v>17</v>
      </c>
      <c r="AC33" s="145">
        <v>15</v>
      </c>
      <c r="AD33" s="79">
        <v>5</v>
      </c>
      <c r="AE33" s="110">
        <v>5</v>
      </c>
      <c r="AF33" s="79">
        <v>5</v>
      </c>
      <c r="AG33" s="79">
        <v>12</v>
      </c>
      <c r="AH33" s="111">
        <f>Y33+Z33+AA33+AB33+AC33+AD33+AE33+AF33+AG33+X33</f>
        <v>88</v>
      </c>
      <c r="AI33" s="76"/>
      <c r="AJ33" s="78">
        <v>29</v>
      </c>
      <c r="AK33" s="110">
        <v>10</v>
      </c>
      <c r="AL33" s="79">
        <v>20</v>
      </c>
      <c r="AM33" s="110">
        <v>20</v>
      </c>
      <c r="AN33" s="79">
        <v>10</v>
      </c>
      <c r="AO33" s="79">
        <v>14</v>
      </c>
      <c r="AP33" s="110">
        <v>10</v>
      </c>
      <c r="AQ33" s="79">
        <v>5</v>
      </c>
      <c r="AR33" s="110">
        <v>10</v>
      </c>
      <c r="AS33" s="79">
        <f>SUM(AK33:AR33)</f>
        <v>99</v>
      </c>
      <c r="AT33" s="18"/>
      <c r="AU33" s="78">
        <v>29</v>
      </c>
      <c r="AV33" s="110">
        <f>AS33+0</f>
        <v>99</v>
      </c>
      <c r="AW33" s="75"/>
      <c r="AX33" s="18"/>
      <c r="AY33" s="110">
        <f>AH33</f>
        <v>88</v>
      </c>
      <c r="AZ33" s="75"/>
      <c r="BA33" s="18"/>
      <c r="BB33" s="110">
        <v>100</v>
      </c>
      <c r="BC33" s="75"/>
      <c r="BD33" s="18"/>
      <c r="BE33" s="76"/>
      <c r="BF33" s="75"/>
      <c r="BG33" s="18"/>
      <c r="BH33" s="78">
        <v>29</v>
      </c>
      <c r="BI33" s="110">
        <f>AS33-1</f>
        <v>98</v>
      </c>
      <c r="BJ33" s="75"/>
      <c r="BK33" s="18"/>
      <c r="BL33" s="110">
        <f>AH33-1</f>
        <v>87</v>
      </c>
      <c r="BM33" s="75"/>
      <c r="BN33" s="18"/>
      <c r="BO33" s="110">
        <v>100</v>
      </c>
      <c r="BP33" s="75"/>
      <c r="BQ33" s="18"/>
      <c r="BR33" s="76"/>
      <c r="BS33" s="75"/>
      <c r="BT33" s="18"/>
      <c r="BU33" s="78">
        <v>29</v>
      </c>
      <c r="BV33" s="110">
        <v>100</v>
      </c>
      <c r="BW33" s="75"/>
      <c r="BX33" s="18"/>
      <c r="BY33" s="110">
        <f>AH33+2</f>
        <v>90</v>
      </c>
      <c r="BZ33" s="75"/>
      <c r="CA33" s="18"/>
      <c r="CB33" s="110">
        <v>100</v>
      </c>
      <c r="CC33" s="75"/>
      <c r="CD33" s="18"/>
      <c r="CE33" s="76"/>
      <c r="CF33" s="75"/>
      <c r="CG33" s="18"/>
      <c r="CH33" s="78">
        <v>29</v>
      </c>
      <c r="CI33" s="110">
        <f>AS33+1</f>
        <v>100</v>
      </c>
      <c r="CJ33" s="75"/>
      <c r="CK33" s="18"/>
      <c r="CL33" s="110">
        <f>AH33+1</f>
        <v>89</v>
      </c>
      <c r="CM33" s="75"/>
      <c r="CN33" s="18"/>
      <c r="CO33" s="110">
        <v>100</v>
      </c>
      <c r="CP33" s="75"/>
      <c r="CQ33" s="18"/>
      <c r="CR33" s="76"/>
      <c r="CS33" s="75"/>
      <c r="CT33" s="18"/>
      <c r="CU33" s="78">
        <v>29</v>
      </c>
      <c r="CV33" s="79">
        <f>(AV33+AY33+BB33+BE33)/4</f>
        <v>71.75</v>
      </c>
      <c r="CW33" s="79">
        <f>(BI33+BL33+BO33+BR33)/4</f>
        <v>71.25</v>
      </c>
      <c r="CX33" s="79">
        <f>(BV33+BY33+CB33+CE33)/4</f>
        <v>72.5</v>
      </c>
      <c r="CY33" s="79">
        <f>(CI33+CL33+CO33+CR33)/4</f>
        <v>72.25</v>
      </c>
      <c r="CZ33" s="18"/>
      <c r="DA33" s="80">
        <f>SUM(CV33:CY33)/4</f>
        <v>71.9375</v>
      </c>
      <c r="DB33" s="18"/>
      <c r="DC33" s="79">
        <f>DA33*0.5</f>
        <v>35.96875</v>
      </c>
      <c r="DD33" s="75"/>
      <c r="DE33" s="79">
        <f>DD33*0.5</f>
        <v>0</v>
      </c>
      <c r="DF33" s="81">
        <f>DE33+DC33</f>
        <v>35.96875</v>
      </c>
      <c r="DG33" s="18"/>
      <c r="DH33" s="79">
        <f>DA33*0.3</f>
        <v>21.58125</v>
      </c>
      <c r="DI33" s="75"/>
      <c r="DJ33" s="79">
        <f>DI33*0.7</f>
        <v>0</v>
      </c>
      <c r="DK33" s="81">
        <f>DJ33+DH33</f>
        <v>21.58125</v>
      </c>
    </row>
    <row r="34" ht="26.25" customHeight="1">
      <c r="A34" s="68"/>
      <c r="B34" s="69">
        <v>30</v>
      </c>
      <c r="C34" t="s" s="70">
        <v>462</v>
      </c>
      <c r="D34" t="s" s="71">
        <v>463</v>
      </c>
      <c r="E34" t="s" s="72">
        <v>43</v>
      </c>
      <c r="F34" s="82"/>
      <c r="G34" s="75"/>
      <c r="H34" t="s" s="83">
        <v>43</v>
      </c>
      <c r="I34" t="s" s="72">
        <v>161</v>
      </c>
      <c r="J34" t="s" s="227">
        <v>43</v>
      </c>
      <c r="K34" t="s" s="211">
        <v>43</v>
      </c>
      <c r="L34" s="79">
        <v>10</v>
      </c>
      <c r="M34" s="163">
        <v>8</v>
      </c>
      <c r="N34" s="165">
        <v>9</v>
      </c>
      <c r="O34" s="79">
        <v>8</v>
      </c>
      <c r="P34" s="79">
        <v>9</v>
      </c>
      <c r="Q34" s="79">
        <v>9</v>
      </c>
      <c r="R34" s="79">
        <v>8</v>
      </c>
      <c r="S34" s="79">
        <v>5</v>
      </c>
      <c r="T34" s="229"/>
      <c r="U34" s="228">
        <v>7</v>
      </c>
      <c r="V34" s="233">
        <f>L34+M34+N34+O34+P34+Q34+R34+S34+T34+U34</f>
        <v>73</v>
      </c>
      <c r="W34" s="75"/>
      <c r="X34" s="74"/>
      <c r="Y34" s="165">
        <v>8</v>
      </c>
      <c r="Z34" s="163">
        <v>8</v>
      </c>
      <c r="AA34" s="165">
        <v>9</v>
      </c>
      <c r="AB34" s="75"/>
      <c r="AC34" s="145">
        <v>15</v>
      </c>
      <c r="AD34" s="75"/>
      <c r="AE34" s="76"/>
      <c r="AF34" s="75"/>
      <c r="AG34" s="79">
        <v>12</v>
      </c>
      <c r="AH34" s="111">
        <f>Y34+Z34+AA34+AB34+AC34+AD34+AE34+AF34+AG34+X34</f>
        <v>52</v>
      </c>
      <c r="AI34" s="76"/>
      <c r="AJ34" s="78">
        <v>30</v>
      </c>
      <c r="AK34" s="110">
        <v>10</v>
      </c>
      <c r="AL34" s="79">
        <v>10</v>
      </c>
      <c r="AM34" s="110">
        <v>20</v>
      </c>
      <c r="AN34" s="79">
        <v>10</v>
      </c>
      <c r="AO34" s="79">
        <v>10</v>
      </c>
      <c r="AP34" s="110">
        <v>7</v>
      </c>
      <c r="AQ34" s="75"/>
      <c r="AR34" s="110">
        <v>10</v>
      </c>
      <c r="AS34" s="79">
        <f>SUM(AK34:AR34)</f>
        <v>77</v>
      </c>
      <c r="AT34" s="112">
        <v>77</v>
      </c>
      <c r="AU34" s="78">
        <v>30</v>
      </c>
      <c r="AV34" s="110">
        <f>AS34+0</f>
        <v>77</v>
      </c>
      <c r="AW34" s="75"/>
      <c r="AX34" s="18"/>
      <c r="AY34" s="110">
        <f>AH34</f>
        <v>52</v>
      </c>
      <c r="AZ34" s="79">
        <v>65</v>
      </c>
      <c r="BA34" s="18"/>
      <c r="BB34" s="110">
        <f>V34</f>
        <v>73</v>
      </c>
      <c r="BC34" s="75"/>
      <c r="BD34" s="18"/>
      <c r="BE34" s="76"/>
      <c r="BF34" s="75"/>
      <c r="BG34" s="18"/>
      <c r="BH34" s="78">
        <v>30</v>
      </c>
      <c r="BI34" s="110">
        <f>AS34-1</f>
        <v>76</v>
      </c>
      <c r="BJ34" s="75"/>
      <c r="BK34" s="18"/>
      <c r="BL34" s="110">
        <f>AH34-1</f>
        <v>51</v>
      </c>
      <c r="BM34" s="79">
        <v>65</v>
      </c>
      <c r="BN34" s="18"/>
      <c r="BO34" s="110">
        <f>V34-1</f>
        <v>72</v>
      </c>
      <c r="BP34" s="75"/>
      <c r="BQ34" s="18"/>
      <c r="BR34" s="76"/>
      <c r="BS34" s="75"/>
      <c r="BT34" s="18"/>
      <c r="BU34" s="78">
        <v>30</v>
      </c>
      <c r="BV34" s="110">
        <f>AS34+2</f>
        <v>79</v>
      </c>
      <c r="BW34" s="75"/>
      <c r="BX34" s="18"/>
      <c r="BY34" s="110">
        <f>AH34+2</f>
        <v>54</v>
      </c>
      <c r="BZ34" s="79">
        <v>65</v>
      </c>
      <c r="CA34" s="18"/>
      <c r="CB34" s="110">
        <f>V34+2</f>
        <v>75</v>
      </c>
      <c r="CC34" s="75"/>
      <c r="CD34" s="18"/>
      <c r="CE34" s="76"/>
      <c r="CF34" s="75"/>
      <c r="CG34" s="18"/>
      <c r="CH34" s="78">
        <v>30</v>
      </c>
      <c r="CI34" s="110">
        <f>AS34+1</f>
        <v>78</v>
      </c>
      <c r="CJ34" s="75"/>
      <c r="CK34" s="18"/>
      <c r="CL34" s="110">
        <f>AH34+1</f>
        <v>53</v>
      </c>
      <c r="CM34" s="79">
        <v>65</v>
      </c>
      <c r="CN34" s="18"/>
      <c r="CO34" s="110">
        <f>V34+1</f>
        <v>74</v>
      </c>
      <c r="CP34" s="75"/>
      <c r="CQ34" s="18"/>
      <c r="CR34" s="76"/>
      <c r="CS34" s="75"/>
      <c r="CT34" s="18"/>
      <c r="CU34" s="78">
        <v>30</v>
      </c>
      <c r="CV34" s="79">
        <f>(AV34+AY34+BB34+BE34)/4</f>
        <v>50.5</v>
      </c>
      <c r="CW34" s="79">
        <f>(BI34+BL34+BO34+BR34)/4</f>
        <v>49.75</v>
      </c>
      <c r="CX34" s="79">
        <f>(BV34+BY34+CB34+CE34)/4</f>
        <v>52</v>
      </c>
      <c r="CY34" s="79">
        <f>(CI34+CL34+CO34+CR34)/4</f>
        <v>51.25</v>
      </c>
      <c r="CZ34" s="18"/>
      <c r="DA34" s="80">
        <f>SUM(CV34:CY34)/4</f>
        <v>50.875</v>
      </c>
      <c r="DB34" s="18"/>
      <c r="DC34" s="79">
        <f>DA34*0.5</f>
        <v>25.4375</v>
      </c>
      <c r="DD34" s="75"/>
      <c r="DE34" s="79">
        <f>DD34*0.5</f>
        <v>0</v>
      </c>
      <c r="DF34" s="81">
        <f>DE34+DC34</f>
        <v>25.4375</v>
      </c>
      <c r="DG34" s="18"/>
      <c r="DH34" s="79">
        <f>DA34*0.3</f>
        <v>15.2625</v>
      </c>
      <c r="DI34" s="75"/>
      <c r="DJ34" s="79">
        <f>DI34*0.7</f>
        <v>0</v>
      </c>
      <c r="DK34" s="81">
        <f>DJ34+DH34</f>
        <v>15.2625</v>
      </c>
    </row>
    <row r="35" ht="26.25" customHeight="1">
      <c r="A35" s="68"/>
      <c r="B35" s="69">
        <v>31</v>
      </c>
      <c r="C35" t="s" s="70">
        <v>464</v>
      </c>
      <c r="D35" t="s" s="71">
        <v>465</v>
      </c>
      <c r="E35" t="s" s="72">
        <v>161</v>
      </c>
      <c r="F35" t="s" s="113">
        <v>161</v>
      </c>
      <c r="G35" s="75"/>
      <c r="H35" t="s" s="83">
        <v>43</v>
      </c>
      <c r="I35" t="s" s="72">
        <v>43</v>
      </c>
      <c r="J35" t="s" s="227">
        <v>43</v>
      </c>
      <c r="K35" t="s" s="211">
        <v>161</v>
      </c>
      <c r="L35" s="79">
        <v>8</v>
      </c>
      <c r="M35" s="163">
        <v>8</v>
      </c>
      <c r="N35" s="165">
        <v>8</v>
      </c>
      <c r="O35" s="79">
        <v>8</v>
      </c>
      <c r="P35" s="79">
        <v>8</v>
      </c>
      <c r="Q35" s="79">
        <v>7</v>
      </c>
      <c r="R35" s="79">
        <v>8</v>
      </c>
      <c r="S35" s="79">
        <v>8</v>
      </c>
      <c r="T35" s="79">
        <v>19</v>
      </c>
      <c r="U35" s="79">
        <v>10</v>
      </c>
      <c r="V35" s="233">
        <f>L35+M35+N35+O35+P35+Q35+R35+S35+T35+U35</f>
        <v>92</v>
      </c>
      <c r="W35" s="75"/>
      <c r="X35" s="163">
        <v>10</v>
      </c>
      <c r="Y35" s="165">
        <v>8</v>
      </c>
      <c r="Z35" s="163">
        <v>8</v>
      </c>
      <c r="AA35" s="165">
        <v>8</v>
      </c>
      <c r="AB35" s="79">
        <v>19</v>
      </c>
      <c r="AC35" s="145">
        <v>15</v>
      </c>
      <c r="AD35" s="79">
        <v>5</v>
      </c>
      <c r="AE35" s="110">
        <v>5</v>
      </c>
      <c r="AF35" s="79">
        <v>5</v>
      </c>
      <c r="AG35" s="79">
        <v>12</v>
      </c>
      <c r="AH35" s="111">
        <f>Y35+Z35+AA35+AB35+AC35+AD35+AE35+AF35+AG35+X35</f>
        <v>95</v>
      </c>
      <c r="AI35" s="76"/>
      <c r="AJ35" s="78">
        <v>31</v>
      </c>
      <c r="AK35" s="110">
        <v>10</v>
      </c>
      <c r="AL35" s="79">
        <v>20</v>
      </c>
      <c r="AM35" s="110">
        <v>20</v>
      </c>
      <c r="AN35" s="79">
        <v>10</v>
      </c>
      <c r="AO35" s="79">
        <v>14</v>
      </c>
      <c r="AP35" s="110">
        <v>7</v>
      </c>
      <c r="AQ35" s="75"/>
      <c r="AR35" s="110">
        <v>10</v>
      </c>
      <c r="AS35" s="79">
        <f>SUM(AK35:AR35)</f>
        <v>91</v>
      </c>
      <c r="AT35" s="18"/>
      <c r="AU35" s="78">
        <v>31</v>
      </c>
      <c r="AV35" s="110">
        <f>AS35+0</f>
        <v>91</v>
      </c>
      <c r="AW35" s="75"/>
      <c r="AX35" s="18"/>
      <c r="AY35" s="110">
        <f>AH35</f>
        <v>95</v>
      </c>
      <c r="AZ35" s="75"/>
      <c r="BA35" s="18"/>
      <c r="BB35" s="110">
        <f>V35</f>
        <v>92</v>
      </c>
      <c r="BC35" s="75"/>
      <c r="BD35" s="18"/>
      <c r="BE35" s="76"/>
      <c r="BF35" s="75"/>
      <c r="BG35" s="18"/>
      <c r="BH35" s="78">
        <v>31</v>
      </c>
      <c r="BI35" s="110">
        <f>AS35-1</f>
        <v>90</v>
      </c>
      <c r="BJ35" s="75"/>
      <c r="BK35" s="18"/>
      <c r="BL35" s="110">
        <f>AH35-1</f>
        <v>94</v>
      </c>
      <c r="BM35" s="75"/>
      <c r="BN35" s="18"/>
      <c r="BO35" s="110">
        <f>V35-1</f>
        <v>91</v>
      </c>
      <c r="BP35" s="75"/>
      <c r="BQ35" s="18"/>
      <c r="BR35" s="76"/>
      <c r="BS35" s="75"/>
      <c r="BT35" s="18"/>
      <c r="BU35" s="78">
        <v>31</v>
      </c>
      <c r="BV35" s="110">
        <f>AS35+2</f>
        <v>93</v>
      </c>
      <c r="BW35" s="75"/>
      <c r="BX35" s="18"/>
      <c r="BY35" s="110">
        <f>AH35+2</f>
        <v>97</v>
      </c>
      <c r="BZ35" s="75"/>
      <c r="CA35" s="18"/>
      <c r="CB35" s="110">
        <f>V35+2</f>
        <v>94</v>
      </c>
      <c r="CC35" s="75"/>
      <c r="CD35" s="18"/>
      <c r="CE35" s="76"/>
      <c r="CF35" s="75"/>
      <c r="CG35" s="18"/>
      <c r="CH35" s="78">
        <v>31</v>
      </c>
      <c r="CI35" s="110">
        <f>AS35+1</f>
        <v>92</v>
      </c>
      <c r="CJ35" s="75"/>
      <c r="CK35" s="18"/>
      <c r="CL35" s="110">
        <f>AH35+1</f>
        <v>96</v>
      </c>
      <c r="CM35" s="75"/>
      <c r="CN35" s="18"/>
      <c r="CO35" s="110">
        <f>V35+1</f>
        <v>93</v>
      </c>
      <c r="CP35" s="75"/>
      <c r="CQ35" s="18"/>
      <c r="CR35" s="76"/>
      <c r="CS35" s="75"/>
      <c r="CT35" s="18"/>
      <c r="CU35" s="78">
        <v>31</v>
      </c>
      <c r="CV35" s="79">
        <f>(AV35+AY35+BB35+BE35)/4</f>
        <v>69.5</v>
      </c>
      <c r="CW35" s="79">
        <f>(BI35+BL35+BO35+BR35)/4</f>
        <v>68.75</v>
      </c>
      <c r="CX35" s="79">
        <f>(BV35+BY35+CB35+CE35)/4</f>
        <v>71</v>
      </c>
      <c r="CY35" s="79">
        <f>(CI35+CL35+CO35+CR35)/4</f>
        <v>70.25</v>
      </c>
      <c r="CZ35" s="18"/>
      <c r="DA35" s="80">
        <f>SUM(CV35:CY35)/4</f>
        <v>69.875</v>
      </c>
      <c r="DB35" s="18"/>
      <c r="DC35" s="79">
        <f>DA35*0.5</f>
        <v>34.9375</v>
      </c>
      <c r="DD35" s="75"/>
      <c r="DE35" s="79">
        <f>DD35*0.5</f>
        <v>0</v>
      </c>
      <c r="DF35" s="81">
        <f>DE35+DC35</f>
        <v>34.9375</v>
      </c>
      <c r="DG35" s="18"/>
      <c r="DH35" s="79">
        <f>DA35*0.3</f>
        <v>20.9625</v>
      </c>
      <c r="DI35" s="75"/>
      <c r="DJ35" s="79">
        <f>DI35*0.7</f>
        <v>0</v>
      </c>
      <c r="DK35" s="81">
        <f>DJ35+DH35</f>
        <v>20.9625</v>
      </c>
    </row>
    <row r="36" ht="26.25" customHeight="1">
      <c r="A36" s="68"/>
      <c r="B36" s="69">
        <v>32</v>
      </c>
      <c r="C36" t="s" s="70">
        <v>466</v>
      </c>
      <c r="D36" t="s" s="71">
        <v>467</v>
      </c>
      <c r="E36" t="s" s="72">
        <v>161</v>
      </c>
      <c r="F36" s="82"/>
      <c r="G36" s="75"/>
      <c r="H36" t="s" s="83">
        <v>43</v>
      </c>
      <c r="I36" t="s" s="72">
        <v>43</v>
      </c>
      <c r="J36" t="s" s="227">
        <v>43</v>
      </c>
      <c r="K36" t="s" s="211">
        <v>43</v>
      </c>
      <c r="L36" s="79">
        <v>10</v>
      </c>
      <c r="M36" s="163">
        <v>8</v>
      </c>
      <c r="N36" s="165">
        <v>9</v>
      </c>
      <c r="O36" s="79">
        <v>7</v>
      </c>
      <c r="P36" s="79">
        <v>9</v>
      </c>
      <c r="Q36" s="79">
        <v>9</v>
      </c>
      <c r="R36" s="79">
        <v>8</v>
      </c>
      <c r="S36" s="79">
        <v>10</v>
      </c>
      <c r="T36" s="79">
        <v>19</v>
      </c>
      <c r="U36" s="79">
        <v>10</v>
      </c>
      <c r="V36" s="233">
        <f>L36+M36+N36+O36+P36+Q36+R36+S36+T36+U36</f>
        <v>99</v>
      </c>
      <c r="W36" s="75"/>
      <c r="X36" s="74"/>
      <c r="Y36" s="165">
        <v>10</v>
      </c>
      <c r="Z36" s="163">
        <v>8</v>
      </c>
      <c r="AA36" s="165">
        <v>9</v>
      </c>
      <c r="AB36" s="79">
        <v>18</v>
      </c>
      <c r="AC36" s="145">
        <v>15</v>
      </c>
      <c r="AD36" s="79">
        <v>5</v>
      </c>
      <c r="AE36" s="110">
        <v>5</v>
      </c>
      <c r="AF36" s="79">
        <v>1</v>
      </c>
      <c r="AG36" s="79">
        <v>12</v>
      </c>
      <c r="AH36" s="239">
        <f>Y36+Z36+AA36+AB36+AC36+AD36+AE36+AF36+AG36+X36</f>
        <v>83</v>
      </c>
      <c r="AI36" s="76"/>
      <c r="AJ36" s="78">
        <v>32</v>
      </c>
      <c r="AK36" s="110">
        <v>10</v>
      </c>
      <c r="AL36" s="79">
        <v>20</v>
      </c>
      <c r="AM36" s="110">
        <v>20</v>
      </c>
      <c r="AN36" s="79">
        <v>10</v>
      </c>
      <c r="AO36" s="79">
        <v>14</v>
      </c>
      <c r="AP36" s="110">
        <v>10</v>
      </c>
      <c r="AQ36" s="79">
        <v>4</v>
      </c>
      <c r="AR36" s="110">
        <v>10</v>
      </c>
      <c r="AS36" s="79">
        <f>SUM(AK36:AR36)</f>
        <v>98</v>
      </c>
      <c r="AT36" s="18"/>
      <c r="AU36" s="78">
        <v>32</v>
      </c>
      <c r="AV36" s="110">
        <f>AS36+0</f>
        <v>98</v>
      </c>
      <c r="AW36" s="75"/>
      <c r="AX36" s="18"/>
      <c r="AY36" s="110">
        <f>AH36</f>
        <v>83</v>
      </c>
      <c r="AZ36" s="75"/>
      <c r="BA36" s="18"/>
      <c r="BB36" s="110">
        <f>V36</f>
        <v>99</v>
      </c>
      <c r="BC36" s="75"/>
      <c r="BD36" s="18"/>
      <c r="BE36" s="76"/>
      <c r="BF36" s="75"/>
      <c r="BG36" s="18"/>
      <c r="BH36" s="78">
        <v>32</v>
      </c>
      <c r="BI36" s="110">
        <f>AS36-1</f>
        <v>97</v>
      </c>
      <c r="BJ36" s="75"/>
      <c r="BK36" s="18"/>
      <c r="BL36" s="110">
        <f>AH36-1</f>
        <v>82</v>
      </c>
      <c r="BM36" s="75"/>
      <c r="BN36" s="18"/>
      <c r="BO36" s="110">
        <f>V36-1</f>
        <v>98</v>
      </c>
      <c r="BP36" s="75"/>
      <c r="BQ36" s="18"/>
      <c r="BR36" s="76"/>
      <c r="BS36" s="75"/>
      <c r="BT36" s="18"/>
      <c r="BU36" s="78">
        <v>32</v>
      </c>
      <c r="BV36" s="110">
        <f>AS36+2</f>
        <v>100</v>
      </c>
      <c r="BW36" s="75"/>
      <c r="BX36" s="18"/>
      <c r="BY36" s="110">
        <f>AH36+2</f>
        <v>85</v>
      </c>
      <c r="BZ36" s="75"/>
      <c r="CA36" s="18"/>
      <c r="CB36" s="110">
        <f>V36+2</f>
        <v>101</v>
      </c>
      <c r="CC36" s="75"/>
      <c r="CD36" s="18"/>
      <c r="CE36" s="76"/>
      <c r="CF36" s="75"/>
      <c r="CG36" s="18"/>
      <c r="CH36" s="78">
        <v>32</v>
      </c>
      <c r="CI36" s="110">
        <f>AS36+1</f>
        <v>99</v>
      </c>
      <c r="CJ36" s="75"/>
      <c r="CK36" s="18"/>
      <c r="CL36" s="110">
        <f>AH36+1</f>
        <v>84</v>
      </c>
      <c r="CM36" s="75"/>
      <c r="CN36" s="18"/>
      <c r="CO36" s="110">
        <f>V36+1</f>
        <v>100</v>
      </c>
      <c r="CP36" s="75"/>
      <c r="CQ36" s="18"/>
      <c r="CR36" s="76"/>
      <c r="CS36" s="75"/>
      <c r="CT36" s="18"/>
      <c r="CU36" s="78">
        <v>32</v>
      </c>
      <c r="CV36" s="79">
        <f>(AV36+AY36+BB36+BE36)/4</f>
        <v>70</v>
      </c>
      <c r="CW36" s="79">
        <f>(BI36+BL36+BO36+BR36)/4</f>
        <v>69.25</v>
      </c>
      <c r="CX36" s="79">
        <f>(BV36+BY36+CB36+CE36)/4</f>
        <v>71.5</v>
      </c>
      <c r="CY36" s="79">
        <f>(CI36+CL36+CO36+CR36)/4</f>
        <v>70.75</v>
      </c>
      <c r="CZ36" s="18"/>
      <c r="DA36" s="80">
        <f>SUM(CV36:CY36)/4</f>
        <v>70.375</v>
      </c>
      <c r="DB36" s="18"/>
      <c r="DC36" s="79">
        <f>DA36*0.5</f>
        <v>35.1875</v>
      </c>
      <c r="DD36" s="75"/>
      <c r="DE36" s="79">
        <f>DD36*0.5</f>
        <v>0</v>
      </c>
      <c r="DF36" s="81">
        <f>DE36+DC36</f>
        <v>35.1875</v>
      </c>
      <c r="DG36" s="18"/>
      <c r="DH36" s="79">
        <f>DA36*0.3</f>
        <v>21.1125</v>
      </c>
      <c r="DI36" s="75"/>
      <c r="DJ36" s="79">
        <f>DI36*0.7</f>
        <v>0</v>
      </c>
      <c r="DK36" s="81">
        <f>DJ36+DH36</f>
        <v>21.1125</v>
      </c>
    </row>
    <row r="37" ht="26.25" customHeight="1">
      <c r="A37" s="68"/>
      <c r="B37" s="69">
        <v>33</v>
      </c>
      <c r="C37" t="s" s="70">
        <v>468</v>
      </c>
      <c r="D37" t="s" s="71">
        <v>469</v>
      </c>
      <c r="E37" t="s" s="72">
        <v>161</v>
      </c>
      <c r="F37" s="82"/>
      <c r="G37" s="75"/>
      <c r="H37" s="75"/>
      <c r="I37" t="s" s="72">
        <v>43</v>
      </c>
      <c r="J37" t="s" s="227">
        <v>43</v>
      </c>
      <c r="K37" t="s" s="211">
        <v>43</v>
      </c>
      <c r="L37" s="79">
        <v>10</v>
      </c>
      <c r="M37" s="163">
        <v>10</v>
      </c>
      <c r="N37" s="165">
        <v>5</v>
      </c>
      <c r="O37" s="79">
        <v>8</v>
      </c>
      <c r="P37" s="79">
        <v>8</v>
      </c>
      <c r="Q37" s="79">
        <v>9</v>
      </c>
      <c r="R37" s="79">
        <v>8</v>
      </c>
      <c r="S37" s="79">
        <v>10</v>
      </c>
      <c r="T37" s="75"/>
      <c r="U37" s="79">
        <v>7</v>
      </c>
      <c r="V37" s="233">
        <f>L37+M37+N37+O37+P37+Q37+R37+S37+T37+U37</f>
        <v>75</v>
      </c>
      <c r="W37" s="75"/>
      <c r="X37" s="163">
        <v>15</v>
      </c>
      <c r="Y37" s="165">
        <v>10</v>
      </c>
      <c r="Z37" s="163">
        <v>10</v>
      </c>
      <c r="AA37" s="165">
        <v>10</v>
      </c>
      <c r="AB37" s="79">
        <v>18</v>
      </c>
      <c r="AC37" s="145">
        <v>15</v>
      </c>
      <c r="AD37" s="79">
        <v>5</v>
      </c>
      <c r="AE37" s="110">
        <v>3</v>
      </c>
      <c r="AF37" s="79">
        <v>5</v>
      </c>
      <c r="AG37" s="79">
        <v>12</v>
      </c>
      <c r="AH37" s="111">
        <f>Y37+Z37+AA37+AB37+AC37+AD37+AE37+AF37+AG37+X37</f>
        <v>103</v>
      </c>
      <c r="AI37" s="76"/>
      <c r="AJ37" s="78">
        <v>33</v>
      </c>
      <c r="AK37" s="110">
        <v>10</v>
      </c>
      <c r="AL37" s="79">
        <v>8</v>
      </c>
      <c r="AM37" s="110">
        <v>20</v>
      </c>
      <c r="AN37" s="79">
        <v>8</v>
      </c>
      <c r="AO37" s="79">
        <v>10</v>
      </c>
      <c r="AP37" s="110">
        <v>10</v>
      </c>
      <c r="AQ37" s="79">
        <v>4</v>
      </c>
      <c r="AR37" s="110">
        <v>10</v>
      </c>
      <c r="AS37" s="79">
        <f>SUM(AK37:AR37)</f>
        <v>80</v>
      </c>
      <c r="AT37" s="18"/>
      <c r="AU37" s="78">
        <v>33</v>
      </c>
      <c r="AV37" s="110">
        <f>AS37+0</f>
        <v>80</v>
      </c>
      <c r="AW37" s="79">
        <v>80</v>
      </c>
      <c r="AX37" s="18"/>
      <c r="AY37" s="110">
        <v>100</v>
      </c>
      <c r="AZ37" s="75"/>
      <c r="BA37" s="18"/>
      <c r="BB37" s="110">
        <f>V37</f>
        <v>75</v>
      </c>
      <c r="BC37" s="75"/>
      <c r="BD37" s="18"/>
      <c r="BE37" s="76"/>
      <c r="BF37" s="75"/>
      <c r="BG37" s="18"/>
      <c r="BH37" s="78">
        <v>33</v>
      </c>
      <c r="BI37" s="110">
        <f>AS37-1</f>
        <v>79</v>
      </c>
      <c r="BJ37" s="75"/>
      <c r="BK37" s="18"/>
      <c r="BL37" s="110">
        <v>100</v>
      </c>
      <c r="BM37" s="75"/>
      <c r="BN37" s="18"/>
      <c r="BO37" s="110">
        <f>V37-1</f>
        <v>74</v>
      </c>
      <c r="BP37" s="75"/>
      <c r="BQ37" s="18"/>
      <c r="BR37" s="76"/>
      <c r="BS37" s="75"/>
      <c r="BT37" s="18"/>
      <c r="BU37" s="78">
        <v>33</v>
      </c>
      <c r="BV37" s="110">
        <f>AS37+2</f>
        <v>82</v>
      </c>
      <c r="BW37" s="75"/>
      <c r="BX37" s="18"/>
      <c r="BY37" s="110">
        <v>100</v>
      </c>
      <c r="BZ37" s="75"/>
      <c r="CA37" s="18"/>
      <c r="CB37" s="110">
        <f>V37+2</f>
        <v>77</v>
      </c>
      <c r="CC37" s="75"/>
      <c r="CD37" s="18"/>
      <c r="CE37" s="76"/>
      <c r="CF37" s="75"/>
      <c r="CG37" s="18"/>
      <c r="CH37" s="78">
        <v>33</v>
      </c>
      <c r="CI37" s="110">
        <f>AS37+1</f>
        <v>81</v>
      </c>
      <c r="CJ37" s="75"/>
      <c r="CK37" s="18"/>
      <c r="CL37" s="110">
        <v>100</v>
      </c>
      <c r="CM37" s="75"/>
      <c r="CN37" s="18"/>
      <c r="CO37" s="110">
        <f>V37+1</f>
        <v>76</v>
      </c>
      <c r="CP37" s="75"/>
      <c r="CQ37" s="18"/>
      <c r="CR37" s="76"/>
      <c r="CS37" s="75"/>
      <c r="CT37" s="18"/>
      <c r="CU37" s="78">
        <v>33</v>
      </c>
      <c r="CV37" s="79">
        <f>(AV37+AY37+BB37+BE37)/4</f>
        <v>63.75</v>
      </c>
      <c r="CW37" s="79">
        <f>(BI37+BL37+BO37+BR37)/4</f>
        <v>63.25</v>
      </c>
      <c r="CX37" s="79">
        <f>(BV37+BY37+CB37+CE37)/4</f>
        <v>64.75</v>
      </c>
      <c r="CY37" s="79">
        <f>(CI37+CL37+CO37+CR37)/4</f>
        <v>64.25</v>
      </c>
      <c r="CZ37" s="18"/>
      <c r="DA37" s="80">
        <f>SUM(CV37:CY37)/4</f>
        <v>64</v>
      </c>
      <c r="DB37" s="18"/>
      <c r="DC37" s="79">
        <f>DA37*0.5</f>
        <v>32</v>
      </c>
      <c r="DD37" s="75"/>
      <c r="DE37" s="79">
        <f>DD37*0.5</f>
        <v>0</v>
      </c>
      <c r="DF37" s="81">
        <f>DE37+DC37</f>
        <v>32</v>
      </c>
      <c r="DG37" s="18"/>
      <c r="DH37" s="79">
        <f>DA37*0.3</f>
        <v>19.2</v>
      </c>
      <c r="DI37" s="75"/>
      <c r="DJ37" s="79">
        <f>DI37*0.7</f>
        <v>0</v>
      </c>
      <c r="DK37" s="81">
        <f>DJ37+DH37</f>
        <v>19.2</v>
      </c>
    </row>
    <row r="38" ht="26.25" customHeight="1">
      <c r="A38" s="68"/>
      <c r="B38" s="69">
        <v>34</v>
      </c>
      <c r="C38" t="s" s="70">
        <v>333</v>
      </c>
      <c r="D38" t="s" s="71">
        <v>470</v>
      </c>
      <c r="E38" t="s" s="72">
        <v>43</v>
      </c>
      <c r="F38" s="82"/>
      <c r="G38" s="75"/>
      <c r="H38" s="75"/>
      <c r="I38" t="s" s="72">
        <v>43</v>
      </c>
      <c r="J38" t="s" s="227">
        <v>43</v>
      </c>
      <c r="K38" t="s" s="211">
        <v>43</v>
      </c>
      <c r="L38" s="79">
        <v>10</v>
      </c>
      <c r="M38" s="163">
        <v>9</v>
      </c>
      <c r="N38" s="165">
        <v>10</v>
      </c>
      <c r="O38" s="79">
        <v>37</v>
      </c>
      <c r="P38" s="75"/>
      <c r="Q38" s="75"/>
      <c r="R38" s="75"/>
      <c r="S38" s="79">
        <v>10</v>
      </c>
      <c r="T38" s="79">
        <v>20</v>
      </c>
      <c r="U38" s="79">
        <v>10</v>
      </c>
      <c r="V38" s="233">
        <f>L38+M38+N38+O38+P38+Q38+R38+S38+T38+U38</f>
        <v>106</v>
      </c>
      <c r="W38" s="75"/>
      <c r="X38" s="74"/>
      <c r="Y38" s="165">
        <v>10</v>
      </c>
      <c r="Z38" s="163">
        <v>9</v>
      </c>
      <c r="AA38" s="165">
        <v>10</v>
      </c>
      <c r="AB38" s="79">
        <v>19</v>
      </c>
      <c r="AC38" s="145">
        <v>15</v>
      </c>
      <c r="AD38" s="79">
        <v>5</v>
      </c>
      <c r="AE38" s="110">
        <v>5</v>
      </c>
      <c r="AF38" s="79">
        <v>5</v>
      </c>
      <c r="AG38" s="79">
        <v>12</v>
      </c>
      <c r="AH38" s="111">
        <f>Y38+Z38+AA38+AB38+AC38+AD38+AE38+AF38+AG38+X38</f>
        <v>90</v>
      </c>
      <c r="AI38" s="76"/>
      <c r="AJ38" s="78">
        <v>34</v>
      </c>
      <c r="AK38" s="110">
        <v>10</v>
      </c>
      <c r="AL38" s="79">
        <v>20</v>
      </c>
      <c r="AM38" s="110">
        <v>20</v>
      </c>
      <c r="AN38" s="79">
        <v>10</v>
      </c>
      <c r="AO38" s="79">
        <v>15</v>
      </c>
      <c r="AP38" s="110">
        <v>10</v>
      </c>
      <c r="AQ38" s="79">
        <v>5</v>
      </c>
      <c r="AR38" s="110">
        <v>10</v>
      </c>
      <c r="AS38" s="79">
        <f>SUM(AK38:AR38)</f>
        <v>100</v>
      </c>
      <c r="AT38" s="18"/>
      <c r="AU38" s="78">
        <v>34</v>
      </c>
      <c r="AV38" s="110">
        <f>AS38+0</f>
        <v>100</v>
      </c>
      <c r="AW38" s="75"/>
      <c r="AX38" s="18"/>
      <c r="AY38" s="110">
        <f>AH38</f>
        <v>90</v>
      </c>
      <c r="AZ38" s="75"/>
      <c r="BA38" s="18"/>
      <c r="BB38" s="110">
        <v>100</v>
      </c>
      <c r="BC38" s="75"/>
      <c r="BD38" s="18"/>
      <c r="BE38" s="76"/>
      <c r="BF38" s="75"/>
      <c r="BG38" s="18"/>
      <c r="BH38" s="78">
        <v>34</v>
      </c>
      <c r="BI38" s="110">
        <f>AS38-1</f>
        <v>99</v>
      </c>
      <c r="BJ38" s="75"/>
      <c r="BK38" s="18"/>
      <c r="BL38" s="110">
        <f>AH38-1</f>
        <v>89</v>
      </c>
      <c r="BM38" s="75"/>
      <c r="BN38" s="18"/>
      <c r="BO38" s="110">
        <v>100</v>
      </c>
      <c r="BP38" s="75"/>
      <c r="BQ38" s="18"/>
      <c r="BR38" s="76"/>
      <c r="BS38" s="75"/>
      <c r="BT38" s="18"/>
      <c r="BU38" s="78">
        <v>34</v>
      </c>
      <c r="BV38" s="110">
        <v>100</v>
      </c>
      <c r="BW38" s="75"/>
      <c r="BX38" s="18"/>
      <c r="BY38" s="110">
        <f>AH38+2</f>
        <v>92</v>
      </c>
      <c r="BZ38" s="75"/>
      <c r="CA38" s="18"/>
      <c r="CB38" s="110">
        <v>100</v>
      </c>
      <c r="CC38" s="75"/>
      <c r="CD38" s="18"/>
      <c r="CE38" s="76"/>
      <c r="CF38" s="75"/>
      <c r="CG38" s="18"/>
      <c r="CH38" s="78">
        <v>34</v>
      </c>
      <c r="CI38" s="110">
        <v>100</v>
      </c>
      <c r="CJ38" s="75"/>
      <c r="CK38" s="18"/>
      <c r="CL38" s="110">
        <f>AH38+1</f>
        <v>91</v>
      </c>
      <c r="CM38" s="75"/>
      <c r="CN38" s="18"/>
      <c r="CO38" s="110">
        <v>100</v>
      </c>
      <c r="CP38" s="75"/>
      <c r="CQ38" s="18"/>
      <c r="CR38" s="76"/>
      <c r="CS38" s="75"/>
      <c r="CT38" s="18"/>
      <c r="CU38" s="78">
        <v>34</v>
      </c>
      <c r="CV38" s="79">
        <f>(AV38+AY38+BB38+BE38)/4</f>
        <v>72.5</v>
      </c>
      <c r="CW38" s="79">
        <f>(BI38+BL38+BO38+BR38)/4</f>
        <v>72</v>
      </c>
      <c r="CX38" s="79">
        <f>(BV38+BY38+CB38+CE38)/4</f>
        <v>73</v>
      </c>
      <c r="CY38" s="79">
        <f>(CI38+CL38+CO38+CR38)/4</f>
        <v>72.75</v>
      </c>
      <c r="CZ38" s="18"/>
      <c r="DA38" s="80">
        <f>SUM(CV38:CY38)/4</f>
        <v>72.5625</v>
      </c>
      <c r="DB38" s="18"/>
      <c r="DC38" s="79">
        <f>DA38*0.5</f>
        <v>36.28125</v>
      </c>
      <c r="DD38" s="75"/>
      <c r="DE38" s="79">
        <f>DD38*0.5</f>
        <v>0</v>
      </c>
      <c r="DF38" s="81">
        <f>DE38+DC38</f>
        <v>36.28125</v>
      </c>
      <c r="DG38" s="18"/>
      <c r="DH38" s="79">
        <f>DA38*0.3</f>
        <v>21.76875</v>
      </c>
      <c r="DI38" s="75"/>
      <c r="DJ38" s="79">
        <f>DI38*0.7</f>
        <v>0</v>
      </c>
      <c r="DK38" s="81">
        <f>DJ38+DH38</f>
        <v>21.76875</v>
      </c>
    </row>
    <row r="39" ht="26.25" customHeight="1">
      <c r="A39" s="68"/>
      <c r="B39" s="69">
        <v>35</v>
      </c>
      <c r="C39" t="s" s="70">
        <v>471</v>
      </c>
      <c r="D39" t="s" s="71">
        <v>472</v>
      </c>
      <c r="E39" t="s" s="72">
        <v>161</v>
      </c>
      <c r="F39" s="82"/>
      <c r="G39" s="75"/>
      <c r="H39" s="79">
        <v>-5</v>
      </c>
      <c r="I39" t="s" s="72">
        <v>43</v>
      </c>
      <c r="J39" t="s" s="227">
        <v>161</v>
      </c>
      <c r="K39" t="s" s="211">
        <v>161</v>
      </c>
      <c r="L39" s="79">
        <v>6</v>
      </c>
      <c r="M39" s="163">
        <v>8</v>
      </c>
      <c r="N39" s="165">
        <v>9</v>
      </c>
      <c r="O39" s="79">
        <v>37</v>
      </c>
      <c r="P39" s="75"/>
      <c r="Q39" s="75"/>
      <c r="R39" s="75"/>
      <c r="S39" s="79">
        <v>10</v>
      </c>
      <c r="T39" s="75"/>
      <c r="U39" s="79">
        <v>7</v>
      </c>
      <c r="V39" s="233">
        <f>L39+M39+N39+O39+P39+Q39+R39+S39+T39+U39</f>
        <v>77</v>
      </c>
      <c r="W39" s="75"/>
      <c r="X39" s="74"/>
      <c r="Y39" s="165">
        <v>10</v>
      </c>
      <c r="Z39" s="163">
        <v>8</v>
      </c>
      <c r="AA39" s="165">
        <v>9</v>
      </c>
      <c r="AB39" s="79">
        <v>20</v>
      </c>
      <c r="AC39" s="145">
        <v>15</v>
      </c>
      <c r="AD39" s="79">
        <v>5</v>
      </c>
      <c r="AE39" s="110">
        <v>5</v>
      </c>
      <c r="AF39" s="79">
        <v>5</v>
      </c>
      <c r="AG39" s="79">
        <v>12</v>
      </c>
      <c r="AH39" s="111">
        <f>Y39+Z39+AA39+AB39+AC39+AD39+AE39+AF39+AG39+X39</f>
        <v>89</v>
      </c>
      <c r="AI39" s="76"/>
      <c r="AJ39" s="78">
        <v>35</v>
      </c>
      <c r="AK39" s="110">
        <v>8</v>
      </c>
      <c r="AL39" s="75"/>
      <c r="AM39" s="110">
        <v>20</v>
      </c>
      <c r="AN39" s="79">
        <v>0</v>
      </c>
      <c r="AO39" s="79">
        <v>10</v>
      </c>
      <c r="AP39" s="110">
        <v>7</v>
      </c>
      <c r="AQ39" s="75"/>
      <c r="AR39" s="110">
        <v>10</v>
      </c>
      <c r="AS39" s="79">
        <f>SUM(AK39:AR39)</f>
        <v>55</v>
      </c>
      <c r="AT39" s="112">
        <v>55</v>
      </c>
      <c r="AU39" s="78">
        <v>35</v>
      </c>
      <c r="AV39" s="110">
        <f>AS39+0</f>
        <v>55</v>
      </c>
      <c r="AW39" s="79">
        <v>75</v>
      </c>
      <c r="AX39" s="18"/>
      <c r="AY39" s="110">
        <f>AH39</f>
        <v>89</v>
      </c>
      <c r="AZ39" s="75"/>
      <c r="BA39" s="18"/>
      <c r="BB39" s="110">
        <f>V39</f>
        <v>77</v>
      </c>
      <c r="BC39" s="75"/>
      <c r="BD39" s="18"/>
      <c r="BE39" s="76"/>
      <c r="BF39" s="75"/>
      <c r="BG39" s="18"/>
      <c r="BH39" s="78">
        <v>35</v>
      </c>
      <c r="BI39" s="110">
        <f>AS39-1</f>
        <v>54</v>
      </c>
      <c r="BJ39" s="79">
        <v>75</v>
      </c>
      <c r="BK39" s="18"/>
      <c r="BL39" s="110">
        <f>AH39-1</f>
        <v>88</v>
      </c>
      <c r="BM39" s="75"/>
      <c r="BN39" s="18"/>
      <c r="BO39" s="110">
        <f>V39-1</f>
        <v>76</v>
      </c>
      <c r="BP39" s="75"/>
      <c r="BQ39" s="18"/>
      <c r="BR39" s="76"/>
      <c r="BS39" s="75"/>
      <c r="BT39" s="18"/>
      <c r="BU39" s="78">
        <v>35</v>
      </c>
      <c r="BV39" s="110">
        <f>AS39+2</f>
        <v>57</v>
      </c>
      <c r="BW39" s="79">
        <v>75</v>
      </c>
      <c r="BX39" s="18"/>
      <c r="BY39" s="110">
        <f>AH39+2</f>
        <v>91</v>
      </c>
      <c r="BZ39" s="75"/>
      <c r="CA39" s="18"/>
      <c r="CB39" s="110">
        <f>V39+2</f>
        <v>79</v>
      </c>
      <c r="CC39" s="75"/>
      <c r="CD39" s="18"/>
      <c r="CE39" s="76"/>
      <c r="CF39" s="75"/>
      <c r="CG39" s="18"/>
      <c r="CH39" s="78">
        <v>35</v>
      </c>
      <c r="CI39" s="110">
        <f>AS39+1</f>
        <v>56</v>
      </c>
      <c r="CJ39" s="79">
        <v>75</v>
      </c>
      <c r="CK39" s="18"/>
      <c r="CL39" s="110">
        <f>AH39+1</f>
        <v>90</v>
      </c>
      <c r="CM39" s="75"/>
      <c r="CN39" s="18"/>
      <c r="CO39" s="110">
        <f>V39+1</f>
        <v>78</v>
      </c>
      <c r="CP39" s="75"/>
      <c r="CQ39" s="18"/>
      <c r="CR39" s="76"/>
      <c r="CS39" s="75"/>
      <c r="CT39" s="18"/>
      <c r="CU39" s="78">
        <v>35</v>
      </c>
      <c r="CV39" s="79">
        <f>(AV39+AY39+BB39+BE39)/4</f>
        <v>55.25</v>
      </c>
      <c r="CW39" s="79">
        <f>(BI39+BL39+BO39+BR39)/4</f>
        <v>54.5</v>
      </c>
      <c r="CX39" s="79">
        <f>(BV39+BY39+CB39+CE39)/4</f>
        <v>56.75</v>
      </c>
      <c r="CY39" s="79">
        <f>(CI39+CL39+CO39+CR39)/4</f>
        <v>56</v>
      </c>
      <c r="CZ39" s="18"/>
      <c r="DA39" s="80">
        <f>SUM(CV39:CY39)/4</f>
        <v>55.625</v>
      </c>
      <c r="DB39" s="18"/>
      <c r="DC39" s="79">
        <f>DA39*0.5</f>
        <v>27.8125</v>
      </c>
      <c r="DD39" s="75"/>
      <c r="DE39" s="79">
        <f>DD39*0.5</f>
        <v>0</v>
      </c>
      <c r="DF39" s="81">
        <f>DE39+DC39</f>
        <v>27.8125</v>
      </c>
      <c r="DG39" s="18"/>
      <c r="DH39" s="79">
        <f>DA39*0.3</f>
        <v>16.6875</v>
      </c>
      <c r="DI39" s="75"/>
      <c r="DJ39" s="79">
        <f>DI39*0.7</f>
        <v>0</v>
      </c>
      <c r="DK39" s="81">
        <f>DJ39+DH39</f>
        <v>16.6875</v>
      </c>
    </row>
    <row r="40" ht="26.25" customHeight="1">
      <c r="A40" s="68"/>
      <c r="B40" s="69">
        <v>36</v>
      </c>
      <c r="C40" t="s" s="70">
        <v>251</v>
      </c>
      <c r="D40" t="s" s="71">
        <v>473</v>
      </c>
      <c r="E40" t="s" s="72">
        <v>43</v>
      </c>
      <c r="F40" s="82"/>
      <c r="G40" s="75"/>
      <c r="H40" s="75"/>
      <c r="I40" t="s" s="72">
        <v>43</v>
      </c>
      <c r="J40" t="s" s="227">
        <v>43</v>
      </c>
      <c r="K40" t="s" s="211">
        <v>43</v>
      </c>
      <c r="L40" s="79">
        <v>10</v>
      </c>
      <c r="M40" s="163">
        <v>9</v>
      </c>
      <c r="N40" s="165">
        <v>10</v>
      </c>
      <c r="O40" s="79">
        <v>37</v>
      </c>
      <c r="P40" s="75"/>
      <c r="Q40" s="75"/>
      <c r="R40" s="75"/>
      <c r="S40" s="79">
        <v>10</v>
      </c>
      <c r="T40" s="79">
        <v>20</v>
      </c>
      <c r="U40" s="79">
        <v>10</v>
      </c>
      <c r="V40" s="233">
        <f>L40+M40+N40+O40+P40+Q40+R40+S40+T40+U40</f>
        <v>106</v>
      </c>
      <c r="W40" s="75"/>
      <c r="X40" s="163">
        <v>10</v>
      </c>
      <c r="Y40" s="165">
        <v>10</v>
      </c>
      <c r="Z40" s="163">
        <v>9</v>
      </c>
      <c r="AA40" s="165">
        <v>10</v>
      </c>
      <c r="AB40" s="79">
        <v>20</v>
      </c>
      <c r="AC40" s="145">
        <v>15</v>
      </c>
      <c r="AD40" s="79">
        <v>5</v>
      </c>
      <c r="AE40" s="110">
        <v>5</v>
      </c>
      <c r="AF40" s="79">
        <v>5</v>
      </c>
      <c r="AG40" s="79">
        <v>12</v>
      </c>
      <c r="AH40" s="111">
        <f>Y40+Z40+AA40+AB40+AC40+AD40+AE40+AF40+AG40+X40</f>
        <v>101</v>
      </c>
      <c r="AI40" s="76"/>
      <c r="AJ40" s="78">
        <v>36</v>
      </c>
      <c r="AK40" s="110">
        <v>10</v>
      </c>
      <c r="AL40" s="79">
        <v>18</v>
      </c>
      <c r="AM40" s="110">
        <v>20</v>
      </c>
      <c r="AN40" s="79">
        <v>10</v>
      </c>
      <c r="AO40" s="79">
        <v>15</v>
      </c>
      <c r="AP40" s="110">
        <v>9</v>
      </c>
      <c r="AQ40" s="79">
        <v>5</v>
      </c>
      <c r="AR40" s="110">
        <v>10</v>
      </c>
      <c r="AS40" s="79">
        <f>SUM(AK40:AR40)</f>
        <v>97</v>
      </c>
      <c r="AT40" s="18"/>
      <c r="AU40" s="78">
        <v>36</v>
      </c>
      <c r="AV40" s="110">
        <f>AS40+0</f>
        <v>97</v>
      </c>
      <c r="AW40" s="75"/>
      <c r="AX40" s="18"/>
      <c r="AY40" s="110">
        <v>100</v>
      </c>
      <c r="AZ40" s="75"/>
      <c r="BA40" s="18"/>
      <c r="BB40" s="110">
        <v>100</v>
      </c>
      <c r="BC40" s="75"/>
      <c r="BD40" s="18"/>
      <c r="BE40" s="76"/>
      <c r="BF40" s="75"/>
      <c r="BG40" s="18"/>
      <c r="BH40" s="78">
        <v>36</v>
      </c>
      <c r="BI40" s="110">
        <f>AS40-1</f>
        <v>96</v>
      </c>
      <c r="BJ40" s="75"/>
      <c r="BK40" s="18"/>
      <c r="BL40" s="110">
        <f>AH40-1</f>
        <v>100</v>
      </c>
      <c r="BM40" s="75"/>
      <c r="BN40" s="18"/>
      <c r="BO40" s="110">
        <v>100</v>
      </c>
      <c r="BP40" s="75"/>
      <c r="BQ40" s="18"/>
      <c r="BR40" s="76"/>
      <c r="BS40" s="75"/>
      <c r="BT40" s="18"/>
      <c r="BU40" s="78">
        <v>36</v>
      </c>
      <c r="BV40" s="110">
        <f>AS40+2</f>
        <v>99</v>
      </c>
      <c r="BW40" s="75"/>
      <c r="BX40" s="18"/>
      <c r="BY40" s="110">
        <v>100</v>
      </c>
      <c r="BZ40" s="75"/>
      <c r="CA40" s="18"/>
      <c r="CB40" s="110">
        <v>100</v>
      </c>
      <c r="CC40" s="75"/>
      <c r="CD40" s="18"/>
      <c r="CE40" s="76"/>
      <c r="CF40" s="75"/>
      <c r="CG40" s="18"/>
      <c r="CH40" s="78">
        <v>36</v>
      </c>
      <c r="CI40" s="110">
        <f>AS40+1</f>
        <v>98</v>
      </c>
      <c r="CJ40" s="75"/>
      <c r="CK40" s="18"/>
      <c r="CL40" s="110">
        <v>100</v>
      </c>
      <c r="CM40" s="75"/>
      <c r="CN40" s="18"/>
      <c r="CO40" s="110">
        <v>100</v>
      </c>
      <c r="CP40" s="75"/>
      <c r="CQ40" s="18"/>
      <c r="CR40" s="76"/>
      <c r="CS40" s="75"/>
      <c r="CT40" s="18"/>
      <c r="CU40" s="78">
        <v>36</v>
      </c>
      <c r="CV40" s="79">
        <f>(AV40+AY40+BB40+BE40)/4</f>
        <v>74.25</v>
      </c>
      <c r="CW40" s="79">
        <f>(BI40+BL40+BO40+BR40)/4</f>
        <v>74</v>
      </c>
      <c r="CX40" s="79">
        <f>(BV40+BY40+CB40+CE40)/4</f>
        <v>74.75</v>
      </c>
      <c r="CY40" s="79">
        <f>(CI40+CL40+CO40+CR40)/4</f>
        <v>74.5</v>
      </c>
      <c r="CZ40" s="18"/>
      <c r="DA40" s="80">
        <f>SUM(CV40:CY40)/4</f>
        <v>74.375</v>
      </c>
      <c r="DB40" s="18"/>
      <c r="DC40" s="79">
        <f>DA40*0.5</f>
        <v>37.1875</v>
      </c>
      <c r="DD40" s="75"/>
      <c r="DE40" s="79">
        <f>DD40*0.5</f>
        <v>0</v>
      </c>
      <c r="DF40" s="81">
        <f>DE40+DC40</f>
        <v>37.1875</v>
      </c>
      <c r="DG40" s="18"/>
      <c r="DH40" s="79">
        <f>DA40*0.3</f>
        <v>22.3125</v>
      </c>
      <c r="DI40" s="75"/>
      <c r="DJ40" s="79">
        <f>DI40*0.7</f>
        <v>0</v>
      </c>
      <c r="DK40" s="81">
        <f>DJ40+DH40</f>
        <v>22.3125</v>
      </c>
    </row>
    <row r="41" ht="26.25" customHeight="1">
      <c r="A41" s="68"/>
      <c r="B41" s="69">
        <v>37</v>
      </c>
      <c r="C41" t="s" s="70">
        <v>474</v>
      </c>
      <c r="D41" t="s" s="71">
        <v>475</v>
      </c>
      <c r="E41" t="s" s="72">
        <v>161</v>
      </c>
      <c r="F41" s="82"/>
      <c r="G41" s="75"/>
      <c r="H41" s="75"/>
      <c r="I41" t="s" s="72">
        <v>43</v>
      </c>
      <c r="J41" t="s" s="227">
        <v>43</v>
      </c>
      <c r="K41" t="s" s="211">
        <v>43</v>
      </c>
      <c r="L41" s="79">
        <v>10</v>
      </c>
      <c r="M41" s="163">
        <v>7</v>
      </c>
      <c r="N41" s="165">
        <v>10</v>
      </c>
      <c r="O41" s="79">
        <v>0</v>
      </c>
      <c r="P41" s="75"/>
      <c r="Q41" s="75"/>
      <c r="R41" s="75"/>
      <c r="S41" s="79">
        <v>10</v>
      </c>
      <c r="T41" s="79">
        <v>20</v>
      </c>
      <c r="U41" s="79">
        <v>8</v>
      </c>
      <c r="V41" s="233">
        <f>L41+M41+N41+O41+P41+Q41+R41+S41+T41+U41</f>
        <v>65</v>
      </c>
      <c r="W41" s="75"/>
      <c r="X41" s="74"/>
      <c r="Y41" s="165">
        <v>10</v>
      </c>
      <c r="Z41" s="163">
        <v>7</v>
      </c>
      <c r="AA41" s="165">
        <v>10</v>
      </c>
      <c r="AB41" s="79">
        <v>4</v>
      </c>
      <c r="AC41" s="145">
        <v>15</v>
      </c>
      <c r="AD41" s="79">
        <v>0</v>
      </c>
      <c r="AE41" s="110">
        <v>0</v>
      </c>
      <c r="AF41" s="79">
        <v>0</v>
      </c>
      <c r="AG41" s="79">
        <v>12</v>
      </c>
      <c r="AH41" s="111">
        <f>Y41+Z41+AA41+AB41+AC41+AD41+AE41+AF41+AG41+X41</f>
        <v>58</v>
      </c>
      <c r="AI41" s="76"/>
      <c r="AJ41" s="78">
        <v>37</v>
      </c>
      <c r="AK41" s="110">
        <v>10</v>
      </c>
      <c r="AL41" s="79">
        <v>15</v>
      </c>
      <c r="AM41" s="110">
        <v>20</v>
      </c>
      <c r="AN41" s="79">
        <v>10</v>
      </c>
      <c r="AO41" s="75"/>
      <c r="AP41" s="110">
        <v>10</v>
      </c>
      <c r="AQ41" s="75"/>
      <c r="AR41" s="110">
        <v>10</v>
      </c>
      <c r="AS41" s="79">
        <f>SUM(AK41:AR41)</f>
        <v>75</v>
      </c>
      <c r="AT41" s="18"/>
      <c r="AU41" s="78">
        <v>37</v>
      </c>
      <c r="AV41" s="110">
        <f>AS41+0</f>
        <v>75</v>
      </c>
      <c r="AW41" s="75"/>
      <c r="AX41" s="18"/>
      <c r="AY41" s="110">
        <f>AH41</f>
        <v>58</v>
      </c>
      <c r="AZ41" s="79">
        <v>60</v>
      </c>
      <c r="BA41" s="18"/>
      <c r="BB41" s="110">
        <f>V41</f>
        <v>65</v>
      </c>
      <c r="BC41" s="75"/>
      <c r="BD41" s="18"/>
      <c r="BE41" s="76"/>
      <c r="BF41" s="75"/>
      <c r="BG41" s="18"/>
      <c r="BH41" s="78">
        <v>37</v>
      </c>
      <c r="BI41" s="110">
        <f>AS41-1</f>
        <v>74</v>
      </c>
      <c r="BJ41" s="75"/>
      <c r="BK41" s="18"/>
      <c r="BL41" s="110">
        <f>AH41-1</f>
        <v>57</v>
      </c>
      <c r="BM41" s="79">
        <v>60</v>
      </c>
      <c r="BN41" s="18"/>
      <c r="BO41" s="110">
        <f>V41-1</f>
        <v>64</v>
      </c>
      <c r="BP41" s="75"/>
      <c r="BQ41" s="18"/>
      <c r="BR41" s="76"/>
      <c r="BS41" s="75"/>
      <c r="BT41" s="18"/>
      <c r="BU41" s="78">
        <v>37</v>
      </c>
      <c r="BV41" s="110">
        <f>AS41+2</f>
        <v>77</v>
      </c>
      <c r="BW41" s="75"/>
      <c r="BX41" s="18"/>
      <c r="BY41" s="110">
        <f>AH41+2</f>
        <v>60</v>
      </c>
      <c r="BZ41" s="79">
        <v>60</v>
      </c>
      <c r="CA41" s="18"/>
      <c r="CB41" s="110">
        <f>V41+2</f>
        <v>67</v>
      </c>
      <c r="CC41" s="75"/>
      <c r="CD41" s="18"/>
      <c r="CE41" s="76"/>
      <c r="CF41" s="75"/>
      <c r="CG41" s="18"/>
      <c r="CH41" s="78">
        <v>37</v>
      </c>
      <c r="CI41" s="110">
        <f>AS41+1</f>
        <v>76</v>
      </c>
      <c r="CJ41" s="75"/>
      <c r="CK41" s="18"/>
      <c r="CL41" s="110">
        <f>AH41+1</f>
        <v>59</v>
      </c>
      <c r="CM41" s="79">
        <v>60</v>
      </c>
      <c r="CN41" s="18"/>
      <c r="CO41" s="110">
        <f>V41+1</f>
        <v>66</v>
      </c>
      <c r="CP41" s="75"/>
      <c r="CQ41" s="18"/>
      <c r="CR41" s="76"/>
      <c r="CS41" s="75"/>
      <c r="CT41" s="18"/>
      <c r="CU41" s="78">
        <v>37</v>
      </c>
      <c r="CV41" s="79">
        <f>(AV41+AY41+BB41+BE41)/4</f>
        <v>49.5</v>
      </c>
      <c r="CW41" s="79">
        <f>(BI41+BL41+BO41+BR41)/4</f>
        <v>48.75</v>
      </c>
      <c r="CX41" s="79">
        <f>(BV41+BY41+CB41+CE41)/4</f>
        <v>51</v>
      </c>
      <c r="CY41" s="79">
        <f>(CI41+CL41+CO41+CR41)/4</f>
        <v>50.25</v>
      </c>
      <c r="CZ41" s="18"/>
      <c r="DA41" s="80">
        <f>SUM(CV41:CY41)/4</f>
        <v>49.875</v>
      </c>
      <c r="DB41" s="18"/>
      <c r="DC41" s="79">
        <f>DA41*0.5</f>
        <v>24.9375</v>
      </c>
      <c r="DD41" s="75"/>
      <c r="DE41" s="79">
        <f>DD41*0.5</f>
        <v>0</v>
      </c>
      <c r="DF41" s="81">
        <f>DE41+DC41</f>
        <v>24.9375</v>
      </c>
      <c r="DG41" s="18"/>
      <c r="DH41" s="79">
        <f>DA41*0.3</f>
        <v>14.9625</v>
      </c>
      <c r="DI41" s="75"/>
      <c r="DJ41" s="79">
        <f>DI41*0.7</f>
        <v>0</v>
      </c>
      <c r="DK41" s="81">
        <f>DJ41+DH41</f>
        <v>14.9625</v>
      </c>
    </row>
    <row r="42" ht="26.25" customHeight="1">
      <c r="A42" s="68"/>
      <c r="B42" s="69">
        <v>38</v>
      </c>
      <c r="C42" t="s" s="70">
        <v>476</v>
      </c>
      <c r="D42" t="s" s="71">
        <v>477</v>
      </c>
      <c r="E42" t="s" s="72">
        <v>161</v>
      </c>
      <c r="F42" s="82"/>
      <c r="G42" s="75"/>
      <c r="H42" s="75"/>
      <c r="I42" t="s" s="72">
        <v>43</v>
      </c>
      <c r="J42" t="s" s="227">
        <v>43</v>
      </c>
      <c r="K42" t="s" s="211">
        <v>161</v>
      </c>
      <c r="L42" s="79">
        <v>8</v>
      </c>
      <c r="M42" s="163">
        <v>10</v>
      </c>
      <c r="N42" s="165">
        <v>10</v>
      </c>
      <c r="O42" s="79">
        <v>39</v>
      </c>
      <c r="P42" s="75"/>
      <c r="Q42" s="75"/>
      <c r="R42" s="75"/>
      <c r="S42" s="79">
        <v>10</v>
      </c>
      <c r="T42" s="79">
        <v>20</v>
      </c>
      <c r="U42" s="79">
        <v>10</v>
      </c>
      <c r="V42" s="233">
        <f>L42+M42+N42+O42+P42+Q42+R42+S42+T42+U42</f>
        <v>107</v>
      </c>
      <c r="W42" s="75"/>
      <c r="X42" s="74"/>
      <c r="Y42" s="165">
        <v>10</v>
      </c>
      <c r="Z42" s="163">
        <v>10</v>
      </c>
      <c r="AA42" s="165">
        <v>10</v>
      </c>
      <c r="AB42" s="79">
        <v>17</v>
      </c>
      <c r="AC42" s="145">
        <v>15</v>
      </c>
      <c r="AD42" s="79">
        <v>5</v>
      </c>
      <c r="AE42" s="110">
        <v>5</v>
      </c>
      <c r="AF42" s="79">
        <v>5</v>
      </c>
      <c r="AG42" s="79">
        <v>12</v>
      </c>
      <c r="AH42" s="111">
        <f>Y42+Z42+AA42+AB42+AC42+AD42+AE42+AF42+AG42+X42</f>
        <v>89</v>
      </c>
      <c r="AI42" s="76"/>
      <c r="AJ42" s="78">
        <v>38</v>
      </c>
      <c r="AK42" s="110">
        <v>10</v>
      </c>
      <c r="AL42" s="79">
        <v>20</v>
      </c>
      <c r="AM42" s="110">
        <v>20</v>
      </c>
      <c r="AN42" s="79">
        <v>10</v>
      </c>
      <c r="AO42" s="79">
        <v>15</v>
      </c>
      <c r="AP42" s="110">
        <v>10</v>
      </c>
      <c r="AQ42" s="79">
        <v>4</v>
      </c>
      <c r="AR42" s="110">
        <v>10</v>
      </c>
      <c r="AS42" s="79">
        <f>SUM(AK42:AR42)</f>
        <v>99</v>
      </c>
      <c r="AT42" s="18"/>
      <c r="AU42" s="78">
        <v>38</v>
      </c>
      <c r="AV42" s="110">
        <f>AS42+0</f>
        <v>99</v>
      </c>
      <c r="AW42" s="75"/>
      <c r="AX42" s="18"/>
      <c r="AY42" s="110">
        <f>AH42</f>
        <v>89</v>
      </c>
      <c r="AZ42" s="75"/>
      <c r="BA42" s="18"/>
      <c r="BB42" s="110">
        <v>100</v>
      </c>
      <c r="BC42" s="75"/>
      <c r="BD42" s="18"/>
      <c r="BE42" s="76"/>
      <c r="BF42" s="75"/>
      <c r="BG42" s="18"/>
      <c r="BH42" s="78">
        <v>38</v>
      </c>
      <c r="BI42" s="110">
        <f>AS42-1</f>
        <v>98</v>
      </c>
      <c r="BJ42" s="75"/>
      <c r="BK42" s="18"/>
      <c r="BL42" s="110">
        <f>AH42-1</f>
        <v>88</v>
      </c>
      <c r="BM42" s="75"/>
      <c r="BN42" s="18"/>
      <c r="BO42" s="110">
        <v>100</v>
      </c>
      <c r="BP42" s="75"/>
      <c r="BQ42" s="18"/>
      <c r="BR42" s="76"/>
      <c r="BS42" s="75"/>
      <c r="BT42" s="18"/>
      <c r="BU42" s="78">
        <v>38</v>
      </c>
      <c r="BV42" s="110">
        <f>AS42+2</f>
        <v>101</v>
      </c>
      <c r="BW42" s="75"/>
      <c r="BX42" s="18"/>
      <c r="BY42" s="110">
        <f>AH42+2</f>
        <v>91</v>
      </c>
      <c r="BZ42" s="75"/>
      <c r="CA42" s="18"/>
      <c r="CB42" s="110">
        <v>100</v>
      </c>
      <c r="CC42" s="75"/>
      <c r="CD42" s="18"/>
      <c r="CE42" s="76"/>
      <c r="CF42" s="75"/>
      <c r="CG42" s="18"/>
      <c r="CH42" s="78">
        <v>38</v>
      </c>
      <c r="CI42" s="110">
        <f>AS42+1</f>
        <v>100</v>
      </c>
      <c r="CJ42" s="75"/>
      <c r="CK42" s="18"/>
      <c r="CL42" s="110">
        <f>AH42+1</f>
        <v>90</v>
      </c>
      <c r="CM42" s="75"/>
      <c r="CN42" s="18"/>
      <c r="CO42" s="110">
        <v>100</v>
      </c>
      <c r="CP42" s="75"/>
      <c r="CQ42" s="18"/>
      <c r="CR42" s="76"/>
      <c r="CS42" s="75"/>
      <c r="CT42" s="18"/>
      <c r="CU42" s="78">
        <v>38</v>
      </c>
      <c r="CV42" s="79">
        <f>(AV42+AY42+BB42+BE42)/4</f>
        <v>72</v>
      </c>
      <c r="CW42" s="79">
        <f>(BI42+BL42+BO42+BR42)/4</f>
        <v>71.5</v>
      </c>
      <c r="CX42" s="79">
        <f>(BV42+BY42+CB42+CE42)/4</f>
        <v>73</v>
      </c>
      <c r="CY42" s="79">
        <f>(CI42+CL42+CO42+CR42)/4</f>
        <v>72.5</v>
      </c>
      <c r="CZ42" s="18"/>
      <c r="DA42" s="80">
        <f>SUM(CV42:CY42)/4</f>
        <v>72.25</v>
      </c>
      <c r="DB42" s="18"/>
      <c r="DC42" s="79">
        <f>DA42*0.5</f>
        <v>36.125</v>
      </c>
      <c r="DD42" s="75"/>
      <c r="DE42" s="79">
        <f>DD42*0.5</f>
        <v>0</v>
      </c>
      <c r="DF42" s="81">
        <f>DE42+DC42</f>
        <v>36.125</v>
      </c>
      <c r="DG42" s="18"/>
      <c r="DH42" s="79">
        <f>DA42*0.3</f>
        <v>21.675</v>
      </c>
      <c r="DI42" s="75"/>
      <c r="DJ42" s="79">
        <f>DI42*0.7</f>
        <v>0</v>
      </c>
      <c r="DK42" s="81">
        <f>DJ42+DH42</f>
        <v>21.675</v>
      </c>
    </row>
    <row r="43" ht="26.25" customHeight="1">
      <c r="A43" s="68"/>
      <c r="B43" s="69">
        <v>39</v>
      </c>
      <c r="C43" t="s" s="70">
        <v>478</v>
      </c>
      <c r="D43" t="s" s="71">
        <v>479</v>
      </c>
      <c r="E43" t="s" s="72">
        <v>43</v>
      </c>
      <c r="F43" s="82"/>
      <c r="G43" s="75"/>
      <c r="H43" s="75"/>
      <c r="I43" t="s" s="72">
        <v>43</v>
      </c>
      <c r="J43" t="s" s="227">
        <v>43</v>
      </c>
      <c r="K43" t="s" s="211">
        <v>43</v>
      </c>
      <c r="L43" s="137">
        <v>10</v>
      </c>
      <c r="M43" s="240">
        <v>10</v>
      </c>
      <c r="N43" s="241">
        <v>10</v>
      </c>
      <c r="O43" s="79">
        <v>37</v>
      </c>
      <c r="P43" s="75"/>
      <c r="Q43" s="75"/>
      <c r="R43" s="75"/>
      <c r="S43" s="137">
        <v>10</v>
      </c>
      <c r="T43" s="137">
        <v>20</v>
      </c>
      <c r="U43" s="79">
        <v>10</v>
      </c>
      <c r="V43" s="233">
        <f>L43+M43+N43+O43+P43+Q43+R43+S43+T43+U43</f>
        <v>107</v>
      </c>
      <c r="W43" s="136"/>
      <c r="X43" s="242"/>
      <c r="Y43" s="241">
        <v>10</v>
      </c>
      <c r="Z43" s="240">
        <v>10</v>
      </c>
      <c r="AA43" s="241">
        <v>10</v>
      </c>
      <c r="AB43" s="137">
        <v>14</v>
      </c>
      <c r="AC43" s="137">
        <v>15</v>
      </c>
      <c r="AD43" s="137">
        <v>5</v>
      </c>
      <c r="AE43" s="136"/>
      <c r="AF43" s="136"/>
      <c r="AG43" s="137">
        <v>12</v>
      </c>
      <c r="AH43" s="239">
        <f>Y43+Z43+AA43+AB43+AC43+AD43+AE43+AF43+AG43+X43</f>
        <v>76</v>
      </c>
      <c r="AI43" s="76"/>
      <c r="AJ43" s="78">
        <v>39</v>
      </c>
      <c r="AK43" s="110">
        <v>10</v>
      </c>
      <c r="AL43" s="79">
        <v>20</v>
      </c>
      <c r="AM43" s="110">
        <v>20</v>
      </c>
      <c r="AN43" s="79">
        <v>10</v>
      </c>
      <c r="AO43" s="79">
        <v>14</v>
      </c>
      <c r="AP43" s="110">
        <v>9</v>
      </c>
      <c r="AQ43" s="79">
        <v>5</v>
      </c>
      <c r="AR43" s="110">
        <v>10</v>
      </c>
      <c r="AS43" s="79">
        <f>SUM(AK43:AR43)</f>
        <v>98</v>
      </c>
      <c r="AT43" s="18"/>
      <c r="AU43" s="78">
        <v>39</v>
      </c>
      <c r="AV43" s="110">
        <f>AS43+0</f>
        <v>98</v>
      </c>
      <c r="AW43" s="75"/>
      <c r="AX43" s="18"/>
      <c r="AY43" s="110">
        <f>AH43</f>
        <v>76</v>
      </c>
      <c r="AZ43" s="75"/>
      <c r="BA43" s="18"/>
      <c r="BB43" s="110">
        <v>100</v>
      </c>
      <c r="BC43" s="75"/>
      <c r="BD43" s="18"/>
      <c r="BE43" s="76"/>
      <c r="BF43" s="75"/>
      <c r="BG43" s="18"/>
      <c r="BH43" s="78">
        <v>39</v>
      </c>
      <c r="BI43" s="110">
        <f>AS43-1</f>
        <v>97</v>
      </c>
      <c r="BJ43" s="75"/>
      <c r="BK43" s="18"/>
      <c r="BL43" s="110">
        <f>AH43-1</f>
        <v>75</v>
      </c>
      <c r="BM43" s="75"/>
      <c r="BN43" s="18"/>
      <c r="BO43" s="110">
        <v>100</v>
      </c>
      <c r="BP43" s="75"/>
      <c r="BQ43" s="18"/>
      <c r="BR43" s="76"/>
      <c r="BS43" s="75"/>
      <c r="BT43" s="18"/>
      <c r="BU43" s="78">
        <v>39</v>
      </c>
      <c r="BV43" s="110">
        <f>AS43+2</f>
        <v>100</v>
      </c>
      <c r="BW43" s="75"/>
      <c r="BX43" s="18"/>
      <c r="BY43" s="110">
        <f>AH43+2</f>
        <v>78</v>
      </c>
      <c r="BZ43" s="75"/>
      <c r="CA43" s="18"/>
      <c r="CB43" s="110">
        <v>100</v>
      </c>
      <c r="CC43" s="75"/>
      <c r="CD43" s="18"/>
      <c r="CE43" s="76"/>
      <c r="CF43" s="75"/>
      <c r="CG43" s="18"/>
      <c r="CH43" s="78">
        <v>39</v>
      </c>
      <c r="CI43" s="110">
        <f>AS43+1</f>
        <v>99</v>
      </c>
      <c r="CJ43" s="75"/>
      <c r="CK43" s="18"/>
      <c r="CL43" s="110">
        <f>AH43+1</f>
        <v>77</v>
      </c>
      <c r="CM43" s="75"/>
      <c r="CN43" s="18"/>
      <c r="CO43" s="110">
        <v>100</v>
      </c>
      <c r="CP43" s="75"/>
      <c r="CQ43" s="18"/>
      <c r="CR43" s="76"/>
      <c r="CS43" s="75"/>
      <c r="CT43" s="18"/>
      <c r="CU43" s="78">
        <v>39</v>
      </c>
      <c r="CV43" s="79">
        <f>(AV43+AY43+BB43+BE43)/4</f>
        <v>68.5</v>
      </c>
      <c r="CW43" s="79">
        <f>(BI43+BL43+BO43+BR43)/4</f>
        <v>68</v>
      </c>
      <c r="CX43" s="79">
        <f>(BV43+BY43+CB43+CE43)/4</f>
        <v>69.5</v>
      </c>
      <c r="CY43" s="79">
        <f>(CI43+CL43+CO43+CR43)/4</f>
        <v>69</v>
      </c>
      <c r="CZ43" s="18"/>
      <c r="DA43" s="80">
        <f>SUM(CV43:CY43)/4</f>
        <v>68.75</v>
      </c>
      <c r="DB43" s="18"/>
      <c r="DC43" s="79">
        <f>DA43*0.5</f>
        <v>34.375</v>
      </c>
      <c r="DD43" s="75"/>
      <c r="DE43" s="79">
        <f>DD43*0.5</f>
        <v>0</v>
      </c>
      <c r="DF43" s="81">
        <f>DE43+DC43</f>
        <v>34.375</v>
      </c>
      <c r="DG43" s="18"/>
      <c r="DH43" s="79">
        <f>DA43*0.3</f>
        <v>20.625</v>
      </c>
      <c r="DI43" s="75"/>
      <c r="DJ43" s="79">
        <f>DI43*0.7</f>
        <v>0</v>
      </c>
      <c r="DK43" s="81">
        <f>DJ43+DH43</f>
        <v>20.625</v>
      </c>
    </row>
    <row r="44" ht="26.25" customHeight="1">
      <c r="A44" s="68"/>
      <c r="B44" s="69">
        <v>40</v>
      </c>
      <c r="C44" t="s" s="70">
        <v>480</v>
      </c>
      <c r="D44" t="s" s="71">
        <v>481</v>
      </c>
      <c r="E44" t="s" s="72">
        <v>43</v>
      </c>
      <c r="F44" s="82"/>
      <c r="G44" s="75"/>
      <c r="H44" s="75"/>
      <c r="I44" t="s" s="72">
        <v>43</v>
      </c>
      <c r="J44" t="s" s="227">
        <v>43</v>
      </c>
      <c r="K44" t="s" s="211">
        <v>43</v>
      </c>
      <c r="L44" s="79">
        <v>10</v>
      </c>
      <c r="M44" s="163">
        <v>10</v>
      </c>
      <c r="N44" s="165">
        <v>10</v>
      </c>
      <c r="O44" s="79">
        <v>38</v>
      </c>
      <c r="P44" s="75"/>
      <c r="Q44" s="75"/>
      <c r="R44" s="75"/>
      <c r="S44" s="79">
        <v>10</v>
      </c>
      <c r="T44" s="79">
        <v>16</v>
      </c>
      <c r="U44" s="79">
        <v>10</v>
      </c>
      <c r="V44" s="233">
        <f>L44+M44+N44+O44+P44+Q44+R44+S44+T44+U44</f>
        <v>104</v>
      </c>
      <c r="W44" s="75"/>
      <c r="X44" s="74"/>
      <c r="Y44" s="165">
        <v>10</v>
      </c>
      <c r="Z44" s="163">
        <v>10</v>
      </c>
      <c r="AA44" s="165">
        <v>10</v>
      </c>
      <c r="AB44" s="79">
        <v>9</v>
      </c>
      <c r="AC44" s="145">
        <v>15</v>
      </c>
      <c r="AD44" s="79">
        <v>5</v>
      </c>
      <c r="AE44" s="110">
        <v>5</v>
      </c>
      <c r="AF44" s="79">
        <v>5</v>
      </c>
      <c r="AG44" s="79">
        <v>12</v>
      </c>
      <c r="AH44" s="111">
        <f>Y44+Z44+AA44+AB44+AC44+AD44+AE44+AF44+AG44+X44</f>
        <v>81</v>
      </c>
      <c r="AI44" s="76"/>
      <c r="AJ44" s="78">
        <v>40</v>
      </c>
      <c r="AK44" s="110">
        <v>10</v>
      </c>
      <c r="AL44" s="79">
        <v>20</v>
      </c>
      <c r="AM44" s="110">
        <v>20</v>
      </c>
      <c r="AN44" s="79">
        <v>10</v>
      </c>
      <c r="AO44" s="79">
        <v>14</v>
      </c>
      <c r="AP44" s="110">
        <v>10</v>
      </c>
      <c r="AQ44" s="75"/>
      <c r="AR44" s="110">
        <v>10</v>
      </c>
      <c r="AS44" s="79">
        <f>SUM(AK44:AR44)</f>
        <v>94</v>
      </c>
      <c r="AT44" s="18"/>
      <c r="AU44" s="78">
        <v>40</v>
      </c>
      <c r="AV44" s="110">
        <f>AS44+0</f>
        <v>94</v>
      </c>
      <c r="AW44" s="75"/>
      <c r="AX44" s="18"/>
      <c r="AY44" s="110">
        <f>AH44</f>
        <v>81</v>
      </c>
      <c r="AZ44" s="75"/>
      <c r="BA44" s="18"/>
      <c r="BB44" s="110">
        <v>100</v>
      </c>
      <c r="BC44" s="75"/>
      <c r="BD44" s="18"/>
      <c r="BE44" s="76"/>
      <c r="BF44" s="75"/>
      <c r="BG44" s="18"/>
      <c r="BH44" s="78">
        <v>40</v>
      </c>
      <c r="BI44" s="110">
        <f>AS44-1</f>
        <v>93</v>
      </c>
      <c r="BJ44" s="75"/>
      <c r="BK44" s="18"/>
      <c r="BL44" s="110">
        <f>AH44-1</f>
        <v>80</v>
      </c>
      <c r="BM44" s="75"/>
      <c r="BN44" s="18"/>
      <c r="BO44" s="110">
        <v>100</v>
      </c>
      <c r="BP44" s="75"/>
      <c r="BQ44" s="18"/>
      <c r="BR44" s="76"/>
      <c r="BS44" s="75"/>
      <c r="BT44" s="18"/>
      <c r="BU44" s="78">
        <v>40</v>
      </c>
      <c r="BV44" s="110">
        <f>AS44+2</f>
        <v>96</v>
      </c>
      <c r="BW44" s="75"/>
      <c r="BX44" s="18"/>
      <c r="BY44" s="110">
        <f>AH44+2</f>
        <v>83</v>
      </c>
      <c r="BZ44" s="75"/>
      <c r="CA44" s="18"/>
      <c r="CB44" s="110">
        <v>100</v>
      </c>
      <c r="CC44" s="75"/>
      <c r="CD44" s="18"/>
      <c r="CE44" s="76"/>
      <c r="CF44" s="75"/>
      <c r="CG44" s="18"/>
      <c r="CH44" s="78">
        <v>40</v>
      </c>
      <c r="CI44" s="110">
        <f>AS44+1</f>
        <v>95</v>
      </c>
      <c r="CJ44" s="75"/>
      <c r="CK44" s="18"/>
      <c r="CL44" s="110">
        <f>AH44+1</f>
        <v>82</v>
      </c>
      <c r="CM44" s="75"/>
      <c r="CN44" s="18"/>
      <c r="CO44" s="110">
        <v>100</v>
      </c>
      <c r="CP44" s="75"/>
      <c r="CQ44" s="18"/>
      <c r="CR44" s="76"/>
      <c r="CS44" s="75"/>
      <c r="CT44" s="18"/>
      <c r="CU44" s="78">
        <v>40</v>
      </c>
      <c r="CV44" s="79">
        <f>(AV44+AY44+BB44+BE44)/4</f>
        <v>68.75</v>
      </c>
      <c r="CW44" s="79">
        <f>(BI44+BL44+BO44+BR44)/4</f>
        <v>68.25</v>
      </c>
      <c r="CX44" s="79">
        <f>(BV44+BY44+CB44+CE44)/4</f>
        <v>69.75</v>
      </c>
      <c r="CY44" s="79">
        <f>(CI44+CL44+CO44+CR44)/4</f>
        <v>69.25</v>
      </c>
      <c r="CZ44" s="18"/>
      <c r="DA44" s="80">
        <f>SUM(CV44:CY44)/4</f>
        <v>69</v>
      </c>
      <c r="DB44" s="18"/>
      <c r="DC44" s="79">
        <f>DA44*0.5</f>
        <v>34.5</v>
      </c>
      <c r="DD44" s="75"/>
      <c r="DE44" s="79">
        <f>DD44*0.5</f>
        <v>0</v>
      </c>
      <c r="DF44" s="81">
        <f>DE44+DC44</f>
        <v>34.5</v>
      </c>
      <c r="DG44" s="18"/>
      <c r="DH44" s="79">
        <f>DA44*0.3</f>
        <v>20.7</v>
      </c>
      <c r="DI44" s="75"/>
      <c r="DJ44" s="79">
        <f>DI44*0.7</f>
        <v>0</v>
      </c>
      <c r="DK44" s="81">
        <f>DJ44+DH44</f>
        <v>20.7</v>
      </c>
    </row>
    <row r="45" ht="26.25" customHeight="1">
      <c r="A45" s="68"/>
      <c r="B45" s="69">
        <v>41</v>
      </c>
      <c r="C45" t="s" s="70">
        <v>482</v>
      </c>
      <c r="D45" t="s" s="71">
        <v>483</v>
      </c>
      <c r="E45" t="s" s="72">
        <v>43</v>
      </c>
      <c r="F45" s="82"/>
      <c r="G45" s="75"/>
      <c r="H45" s="75"/>
      <c r="I45" t="s" s="72">
        <v>43</v>
      </c>
      <c r="J45" t="s" s="227">
        <v>43</v>
      </c>
      <c r="K45" t="s" s="211">
        <v>161</v>
      </c>
      <c r="L45" s="79">
        <v>8</v>
      </c>
      <c r="M45" s="163">
        <v>7</v>
      </c>
      <c r="N45" s="165">
        <v>8</v>
      </c>
      <c r="O45" s="79">
        <v>7</v>
      </c>
      <c r="P45" s="79">
        <v>9</v>
      </c>
      <c r="Q45" s="79">
        <v>8.5</v>
      </c>
      <c r="R45" s="79">
        <v>9</v>
      </c>
      <c r="S45" s="79">
        <v>10</v>
      </c>
      <c r="T45" s="75"/>
      <c r="U45" s="79">
        <v>7</v>
      </c>
      <c r="V45" s="233">
        <f>L45+M45+N45+O45+P45+Q45+R45+S45+T45+U45</f>
        <v>73.5</v>
      </c>
      <c r="W45" s="75"/>
      <c r="X45" s="74"/>
      <c r="Y45" s="165">
        <v>10</v>
      </c>
      <c r="Z45" s="163">
        <v>7</v>
      </c>
      <c r="AA45" s="165">
        <v>8</v>
      </c>
      <c r="AB45" s="79">
        <v>17</v>
      </c>
      <c r="AC45" s="145">
        <v>15</v>
      </c>
      <c r="AD45" s="79">
        <v>0</v>
      </c>
      <c r="AE45" s="110">
        <v>5</v>
      </c>
      <c r="AF45" s="79">
        <v>0</v>
      </c>
      <c r="AG45" s="79">
        <v>12</v>
      </c>
      <c r="AH45" s="111">
        <f>Y45+Z45+AA45+AB45+AC45+AD45+AE45+AF45+AG45+X45</f>
        <v>74</v>
      </c>
      <c r="AI45" s="76"/>
      <c r="AJ45" s="78">
        <v>41</v>
      </c>
      <c r="AK45" s="110">
        <v>10</v>
      </c>
      <c r="AL45" s="79">
        <v>10</v>
      </c>
      <c r="AM45" s="110">
        <v>20</v>
      </c>
      <c r="AN45" s="79">
        <v>0</v>
      </c>
      <c r="AO45" s="75"/>
      <c r="AP45" s="110">
        <v>7</v>
      </c>
      <c r="AQ45" s="75"/>
      <c r="AR45" s="110">
        <v>10</v>
      </c>
      <c r="AS45" s="79">
        <f>SUM(AK45:AR45)</f>
        <v>57</v>
      </c>
      <c r="AT45" s="18"/>
      <c r="AU45" s="78">
        <v>41</v>
      </c>
      <c r="AV45" s="110">
        <f>AS45+0</f>
        <v>57</v>
      </c>
      <c r="AW45" s="79">
        <v>70</v>
      </c>
      <c r="AX45" s="18"/>
      <c r="AY45" s="110">
        <f>AH45</f>
        <v>74</v>
      </c>
      <c r="AZ45" s="75"/>
      <c r="BA45" s="18"/>
      <c r="BB45" s="110">
        <f>V45</f>
        <v>73.5</v>
      </c>
      <c r="BC45" s="75"/>
      <c r="BD45" s="18"/>
      <c r="BE45" s="76"/>
      <c r="BF45" s="75"/>
      <c r="BG45" s="18"/>
      <c r="BH45" s="78">
        <v>41</v>
      </c>
      <c r="BI45" s="110">
        <f>AS45-1</f>
        <v>56</v>
      </c>
      <c r="BJ45" s="79">
        <v>70</v>
      </c>
      <c r="BK45" s="18"/>
      <c r="BL45" s="110">
        <f>AH45-1</f>
        <v>73</v>
      </c>
      <c r="BM45" s="75"/>
      <c r="BN45" s="18"/>
      <c r="BO45" s="110">
        <f>V45-1</f>
        <v>72.5</v>
      </c>
      <c r="BP45" s="75"/>
      <c r="BQ45" s="18"/>
      <c r="BR45" s="76"/>
      <c r="BS45" s="75"/>
      <c r="BT45" s="18"/>
      <c r="BU45" s="78">
        <v>41</v>
      </c>
      <c r="BV45" s="110">
        <f>AS45+2</f>
        <v>59</v>
      </c>
      <c r="BW45" s="79">
        <v>70</v>
      </c>
      <c r="BX45" s="18"/>
      <c r="BY45" s="110">
        <f>AH45+2</f>
        <v>76</v>
      </c>
      <c r="BZ45" s="75"/>
      <c r="CA45" s="18"/>
      <c r="CB45" s="110">
        <f>V45+2</f>
        <v>75.5</v>
      </c>
      <c r="CC45" s="75"/>
      <c r="CD45" s="18"/>
      <c r="CE45" s="76"/>
      <c r="CF45" s="75"/>
      <c r="CG45" s="18"/>
      <c r="CH45" s="78">
        <v>41</v>
      </c>
      <c r="CI45" s="110">
        <f>AS45+1</f>
        <v>58</v>
      </c>
      <c r="CJ45" s="79">
        <v>70</v>
      </c>
      <c r="CK45" s="18"/>
      <c r="CL45" s="110">
        <f>AH45+1</f>
        <v>75</v>
      </c>
      <c r="CM45" s="75"/>
      <c r="CN45" s="18"/>
      <c r="CO45" s="110">
        <f>V45+1</f>
        <v>74.5</v>
      </c>
      <c r="CP45" s="75"/>
      <c r="CQ45" s="18"/>
      <c r="CR45" s="76"/>
      <c r="CS45" s="75"/>
      <c r="CT45" s="18"/>
      <c r="CU45" s="78">
        <v>41</v>
      </c>
      <c r="CV45" s="79">
        <f>(AV45+AY45+BB45+BE45)/4</f>
        <v>51.125</v>
      </c>
      <c r="CW45" s="79">
        <f>(BI45+BL45+BO45+BR45)/4</f>
        <v>50.375</v>
      </c>
      <c r="CX45" s="79">
        <f>(BV45+BY45+CB45+CE45)/4</f>
        <v>52.625</v>
      </c>
      <c r="CY45" s="79">
        <f>(CI45+CL45+CO45+CR45)/4</f>
        <v>51.875</v>
      </c>
      <c r="CZ45" s="18"/>
      <c r="DA45" s="80">
        <f>SUM(CV45:CY45)/4</f>
        <v>51.5</v>
      </c>
      <c r="DB45" s="18"/>
      <c r="DC45" s="79">
        <f>DA45*0.5</f>
        <v>25.75</v>
      </c>
      <c r="DD45" s="75"/>
      <c r="DE45" s="79">
        <f>DD45*0.5</f>
        <v>0</v>
      </c>
      <c r="DF45" s="81">
        <f>DE45+DC45</f>
        <v>25.75</v>
      </c>
      <c r="DG45" s="18"/>
      <c r="DH45" s="79">
        <f>DA45*0.3</f>
        <v>15.45</v>
      </c>
      <c r="DI45" s="75"/>
      <c r="DJ45" s="79">
        <f>DI45*0.7</f>
        <v>0</v>
      </c>
      <c r="DK45" s="81">
        <f>DJ45+DH45</f>
        <v>15.45</v>
      </c>
    </row>
    <row r="46" ht="15" customHeight="1">
      <c r="A46" s="188"/>
      <c r="B46" s="11"/>
      <c r="C46" s="11"/>
      <c r="D46" s="11"/>
      <c r="E46" s="11"/>
      <c r="F46" s="147"/>
      <c r="G46" s="11"/>
      <c r="H46" s="11"/>
      <c r="I46" s="11"/>
      <c r="J46" s="23"/>
      <c r="K46" s="25"/>
      <c r="L46" s="75"/>
      <c r="M46" s="75"/>
      <c r="N46" s="229"/>
      <c r="O46" s="75"/>
      <c r="P46" s="75"/>
      <c r="Q46" s="75"/>
      <c r="R46" s="75"/>
      <c r="S46" s="149"/>
      <c r="T46" s="11"/>
      <c r="U46" s="11"/>
      <c r="V46" s="11"/>
      <c r="W46" s="11"/>
      <c r="X46" s="11"/>
      <c r="Y46" s="147"/>
      <c r="Z46" s="11"/>
      <c r="AA46" s="147"/>
      <c r="AB46" s="11"/>
      <c r="AC46" s="11"/>
      <c r="AD46" s="11"/>
      <c r="AE46" s="11"/>
      <c r="AF46" s="11"/>
      <c r="AG46" s="186">
        <v>10</v>
      </c>
      <c r="AH46" s="243">
        <f>Y46+Z46+AA46+AB46+AC46+AD46+AE46+AF46+AG46+X46</f>
        <v>10</v>
      </c>
      <c r="AI46" s="11"/>
      <c r="AJ46" s="11"/>
      <c r="AK46" s="11"/>
      <c r="AL46" s="11"/>
      <c r="AM46" s="11"/>
      <c r="AN46" s="11"/>
      <c r="AO46" s="11"/>
      <c r="AP46" s="11"/>
      <c r="AQ46" s="11"/>
      <c r="AR46" s="11"/>
      <c r="AS46" s="11"/>
      <c r="AT46" s="23"/>
      <c r="AU46" s="11"/>
      <c r="AV46" s="11"/>
      <c r="AW46" s="11"/>
      <c r="AX46" s="23"/>
      <c r="AY46" s="11"/>
      <c r="AZ46" s="11"/>
      <c r="BA46" s="23"/>
      <c r="BB46" s="11"/>
      <c r="BC46" s="11"/>
      <c r="BD46" s="23"/>
      <c r="BE46" s="11"/>
      <c r="BF46" s="11"/>
      <c r="BG46" s="23"/>
      <c r="BH46" s="11"/>
      <c r="BI46" s="11"/>
      <c r="BJ46" s="11"/>
      <c r="BK46" s="23"/>
      <c r="BL46" s="11"/>
      <c r="BM46" s="11"/>
      <c r="BN46" s="23"/>
      <c r="BO46" s="152"/>
      <c r="BP46" s="11"/>
      <c r="BQ46" s="23"/>
      <c r="BR46" s="11"/>
      <c r="BS46" s="11"/>
      <c r="BT46" s="23"/>
      <c r="BU46" s="11"/>
      <c r="BV46" s="11"/>
      <c r="BW46" s="11"/>
      <c r="BX46" s="23"/>
      <c r="BY46" s="11"/>
      <c r="BZ46" s="11"/>
      <c r="CA46" s="23"/>
      <c r="CB46" s="11"/>
      <c r="CC46" s="11"/>
      <c r="CD46" s="23"/>
      <c r="CE46" s="11"/>
      <c r="CF46" s="11"/>
      <c r="CG46" s="23"/>
      <c r="CH46" s="11"/>
      <c r="CI46" s="11"/>
      <c r="CJ46" s="11"/>
      <c r="CK46" s="23"/>
      <c r="CL46" s="11"/>
      <c r="CM46" s="11"/>
      <c r="CN46" s="23"/>
      <c r="CO46" s="11"/>
      <c r="CP46" s="11"/>
      <c r="CQ46" s="23"/>
      <c r="CR46" s="11"/>
      <c r="CS46" s="11"/>
      <c r="CT46" s="23"/>
      <c r="CU46" s="11"/>
      <c r="CV46" s="11"/>
      <c r="CW46" s="11"/>
      <c r="CX46" s="11"/>
      <c r="CY46" s="11"/>
      <c r="CZ46" s="23"/>
      <c r="DA46" s="11"/>
      <c r="DB46" s="23"/>
      <c r="DC46" s="11"/>
      <c r="DD46" s="11"/>
      <c r="DE46" s="11"/>
      <c r="DF46" s="11"/>
      <c r="DG46" s="23"/>
      <c r="DH46" s="11"/>
      <c r="DI46" s="11"/>
      <c r="DJ46" s="11"/>
      <c r="DK46" s="153"/>
    </row>
    <row r="47" ht="15" customHeight="1">
      <c r="A47" s="146"/>
      <c r="B47" s="23"/>
      <c r="C47" t="s" s="191">
        <v>484</v>
      </c>
      <c r="D47" s="23"/>
      <c r="E47" s="23"/>
      <c r="F47" s="23"/>
      <c r="G47" s="23"/>
      <c r="H47" s="23"/>
      <c r="I47" s="23"/>
      <c r="J47" s="23"/>
      <c r="K47" s="23"/>
      <c r="L47" s="11"/>
      <c r="M47" s="11"/>
      <c r="N47" s="11"/>
      <c r="O47" s="11"/>
      <c r="P47" s="11"/>
      <c r="Q47" s="11"/>
      <c r="R47" s="11"/>
      <c r="S47" s="23"/>
      <c r="T47" s="23"/>
      <c r="U47" s="23"/>
      <c r="V47" s="23"/>
      <c r="W47" s="23"/>
      <c r="X47" s="23"/>
      <c r="Y47" s="23"/>
      <c r="Z47" s="23"/>
      <c r="AA47" s="23"/>
      <c r="AB47" s="23"/>
      <c r="AC47" s="23"/>
      <c r="AD47" s="23"/>
      <c r="AE47" s="23"/>
      <c r="AF47" s="23"/>
      <c r="AG47" s="23"/>
      <c r="AH47" s="23"/>
      <c r="AI47" s="23"/>
      <c r="AJ47" s="23"/>
      <c r="AK47" s="24"/>
      <c r="AL47" s="95">
        <v>18</v>
      </c>
      <c r="AM47" s="24"/>
      <c r="AN47" s="24"/>
      <c r="AO47" s="24"/>
      <c r="AP47" s="24"/>
      <c r="AQ47" s="24"/>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44"/>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156"/>
    </row>
    <row r="48" ht="15" customHeight="1">
      <c r="A48" s="146"/>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60"/>
      <c r="AK48" t="s" s="36">
        <v>142</v>
      </c>
      <c r="AL48" t="s" s="36">
        <v>140</v>
      </c>
      <c r="AM48" t="s" s="36">
        <v>144</v>
      </c>
      <c r="AN48" t="s" s="36">
        <v>145</v>
      </c>
      <c r="AO48" t="s" s="36">
        <v>146</v>
      </c>
      <c r="AP48" t="s" s="36">
        <v>147</v>
      </c>
      <c r="AQ48" t="s" s="36">
        <v>401</v>
      </c>
      <c r="AR48" s="28"/>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156"/>
    </row>
    <row r="49" ht="15" customHeight="1">
      <c r="A49" s="146"/>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45"/>
      <c r="AK49" s="35"/>
      <c r="AL49" s="35"/>
      <c r="AM49" s="35"/>
      <c r="AN49" s="35"/>
      <c r="AO49" s="35"/>
      <c r="AP49" s="35"/>
      <c r="AQ49" s="35"/>
      <c r="AR49" s="28"/>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156"/>
    </row>
    <row r="50" ht="15" customHeight="1">
      <c r="A50" s="146"/>
      <c r="B50" s="23"/>
      <c r="C50" t="s" s="191">
        <v>485</v>
      </c>
      <c r="D50" s="154">
        <v>113</v>
      </c>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45"/>
      <c r="AK50" s="35"/>
      <c r="AL50" s="35"/>
      <c r="AM50" s="35"/>
      <c r="AN50" s="35"/>
      <c r="AO50" s="35"/>
      <c r="AP50" s="35"/>
      <c r="AQ50" s="35"/>
      <c r="AR50" s="28"/>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c r="DK50" s="156"/>
    </row>
    <row r="51" ht="15" customHeight="1">
      <c r="A51" s="85"/>
      <c r="B51" s="88"/>
      <c r="C51" t="s" s="246">
        <v>486</v>
      </c>
      <c r="D51" s="157">
        <v>754</v>
      </c>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245"/>
      <c r="AK51" s="35"/>
      <c r="AL51" s="35"/>
      <c r="AM51" s="35"/>
      <c r="AN51" s="35"/>
      <c r="AO51" s="35"/>
      <c r="AP51" s="35"/>
      <c r="AQ51" s="35"/>
      <c r="AR51" s="15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159"/>
    </row>
  </sheetData>
  <mergeCells count="24">
    <mergeCell ref="E1:AI1"/>
    <mergeCell ref="CY3:CY4"/>
    <mergeCell ref="CV2:CY2"/>
    <mergeCell ref="C3:D3"/>
    <mergeCell ref="C2:D2"/>
    <mergeCell ref="AV3:BF3"/>
    <mergeCell ref="BI3:BS3"/>
    <mergeCell ref="AK2:AS2"/>
    <mergeCell ref="DA3:DA4"/>
    <mergeCell ref="BV3:CF3"/>
    <mergeCell ref="CI3:CS3"/>
    <mergeCell ref="CV3:CV4"/>
    <mergeCell ref="CW3:CW4"/>
    <mergeCell ref="CX3:CX4"/>
    <mergeCell ref="DI3:DI4"/>
    <mergeCell ref="DJ3:DJ4"/>
    <mergeCell ref="DK3:DK4"/>
    <mergeCell ref="DC2:DF2"/>
    <mergeCell ref="DH2:DK2"/>
    <mergeCell ref="DC3:DC4"/>
    <mergeCell ref="DD3:DD4"/>
    <mergeCell ref="DE3:DE4"/>
    <mergeCell ref="DF3:DF4"/>
    <mergeCell ref="DH3:DH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sheetPr>
    <pageSetUpPr fitToPage="1"/>
  </sheetPr>
  <dimension ref="A1:DK49"/>
  <sheetViews>
    <sheetView workbookViewId="0" showGridLines="0" defaultGridColor="1"/>
  </sheetViews>
  <sheetFormatPr defaultColWidth="10.8333" defaultRowHeight="15" customHeight="1" outlineLevelRow="0" outlineLevelCol="0"/>
  <cols>
    <col min="1" max="1" width="8.5" style="247" customWidth="1"/>
    <col min="2" max="2" width="4" style="247" customWidth="1"/>
    <col min="3" max="3" width="25.6719" style="247" customWidth="1"/>
    <col min="4" max="4" width="18.8516" style="247" customWidth="1"/>
    <col min="5" max="10" width="3" style="247" customWidth="1"/>
    <col min="11" max="17" width="5.8125" style="247" customWidth="1"/>
    <col min="18" max="19" width="7.51562" style="247" customWidth="1"/>
    <col min="20" max="20" width="7.66406" style="247" customWidth="1"/>
    <col min="21" max="21" width="8.15625" style="247" customWidth="1"/>
    <col min="22" max="22" width="9.92969" style="247" customWidth="1"/>
    <col min="23" max="31" width="6.17969" style="247" customWidth="1"/>
    <col min="32" max="32" width="5.07031" style="247" customWidth="1"/>
    <col min="33" max="33" width="4.84375" style="247" customWidth="1"/>
    <col min="34" max="35" width="11.0234" style="247" customWidth="1"/>
    <col min="36" max="36" width="5.17188" style="247" customWidth="1"/>
    <col min="37" max="37" width="11.8516" style="247" customWidth="1"/>
    <col min="38" max="38" width="5.17188" style="247" customWidth="1"/>
    <col min="39" max="39" width="8" style="247" customWidth="1"/>
    <col min="40" max="40" width="5.5" style="247" customWidth="1"/>
    <col min="41" max="41" width="7.85156" style="247" customWidth="1"/>
    <col min="42" max="45" width="5.17188" style="247" customWidth="1"/>
    <col min="46" max="46" width="3.5" style="247" customWidth="1"/>
    <col min="47" max="47" width="5.67188" style="247" customWidth="1"/>
    <col min="48" max="48" width="5.5" style="247" customWidth="1"/>
    <col min="49" max="49" width="1.5" style="247" customWidth="1"/>
    <col min="50" max="51" width="5.35156" style="247" customWidth="1"/>
    <col min="52" max="52" width="1.5" style="247" customWidth="1"/>
    <col min="53" max="54" width="5.17188" style="247" customWidth="1"/>
    <col min="55" max="55" width="1.5" style="247" customWidth="1"/>
    <col min="56" max="58" width="4.5" style="247" customWidth="1"/>
    <col min="59" max="59" width="5" style="247" customWidth="1"/>
    <col min="60" max="60" width="5.67188" style="247" customWidth="1"/>
    <col min="61" max="61" width="5.5" style="247" customWidth="1"/>
    <col min="62" max="62" width="1.5" style="247" customWidth="1"/>
    <col min="63" max="64" width="5.35156" style="247" customWidth="1"/>
    <col min="65" max="65" width="1.5" style="247" customWidth="1"/>
    <col min="66" max="67" width="5.17188" style="247" customWidth="1"/>
    <col min="68" max="68" width="1.5" style="247" customWidth="1"/>
    <col min="69" max="72" width="4.5" style="247" customWidth="1"/>
    <col min="73" max="73" width="5.67188" style="247" customWidth="1"/>
    <col min="74" max="74" width="5.5" style="247" customWidth="1"/>
    <col min="75" max="75" width="1.5" style="247" customWidth="1"/>
    <col min="76" max="77" width="5.35156" style="247" customWidth="1"/>
    <col min="78" max="78" width="1.5" style="247" customWidth="1"/>
    <col min="79" max="80" width="5.17188" style="247" customWidth="1"/>
    <col min="81" max="81" width="1.5" style="247" customWidth="1"/>
    <col min="82" max="84" width="4.5" style="247" customWidth="1"/>
    <col min="85" max="85" width="4" style="247" customWidth="1"/>
    <col min="86" max="86" width="5.67188" style="247" customWidth="1"/>
    <col min="87" max="87" width="5.5" style="247" customWidth="1"/>
    <col min="88" max="88" width="1.5" style="247" customWidth="1"/>
    <col min="89" max="90" width="5.35156" style="247" customWidth="1"/>
    <col min="91" max="91" width="1.5" style="247" customWidth="1"/>
    <col min="92" max="93" width="5.17188" style="247" customWidth="1"/>
    <col min="94" max="94" width="1.5" style="247" customWidth="1"/>
    <col min="95" max="97" width="4.5" style="247" customWidth="1"/>
    <col min="98" max="98" width="4" style="247" customWidth="1"/>
    <col min="99" max="102" width="6.5" style="247" customWidth="1"/>
    <col min="103" max="103" width="5.17188" style="247" customWidth="1"/>
    <col min="104" max="104" width="5.67188" style="247" customWidth="1"/>
    <col min="105" max="105" width="2.5" style="247" customWidth="1"/>
    <col min="106" max="109" width="5.17188" style="247" customWidth="1"/>
    <col min="110" max="110" width="2.85156" style="247" customWidth="1"/>
    <col min="111" max="114" width="4.67188" style="247" customWidth="1"/>
    <col min="115" max="115" width="10.8516" style="247" customWidth="1"/>
    <col min="116" max="16384" width="10.8516" style="247" customWidth="1"/>
  </cols>
  <sheetData>
    <row r="1" ht="13.5" customHeight="1">
      <c r="A1" s="7"/>
      <c r="B1" s="8">
        <v>27</v>
      </c>
      <c r="C1" s="8">
        <v>2</v>
      </c>
      <c r="D1" s="8">
        <v>2</v>
      </c>
      <c r="E1" t="s" s="9">
        <v>6</v>
      </c>
      <c r="F1" s="10"/>
      <c r="G1" s="10"/>
      <c r="H1" s="10"/>
      <c r="I1" s="10"/>
      <c r="J1" s="12"/>
      <c r="K1" s="12"/>
      <c r="L1" s="12"/>
      <c r="M1" s="12"/>
      <c r="N1" s="12"/>
      <c r="O1" s="12"/>
      <c r="P1" s="12"/>
      <c r="Q1" s="10"/>
      <c r="R1" s="12"/>
      <c r="S1" s="12"/>
      <c r="T1" s="12"/>
      <c r="U1" s="12"/>
      <c r="V1" s="12"/>
      <c r="W1" s="12"/>
      <c r="X1" s="12"/>
      <c r="Y1" s="12"/>
      <c r="Z1" s="10"/>
      <c r="AA1" s="10"/>
      <c r="AB1" s="10"/>
      <c r="AC1" s="10"/>
      <c r="AD1" s="10"/>
      <c r="AE1" s="10"/>
      <c r="AF1" s="10"/>
      <c r="AG1" s="10"/>
      <c r="AH1" s="11"/>
      <c r="AI1" s="11"/>
      <c r="AJ1" s="12"/>
      <c r="AK1" s="12"/>
      <c r="AL1" s="12"/>
      <c r="AM1" s="12"/>
      <c r="AN1" s="12"/>
      <c r="AO1" s="12"/>
      <c r="AP1" s="12"/>
      <c r="AQ1" s="12"/>
      <c r="AR1" s="12"/>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2"/>
      <c r="CV1" s="12"/>
      <c r="CW1" s="12"/>
      <c r="CX1" s="12"/>
      <c r="CY1" s="13"/>
      <c r="CZ1" s="13"/>
      <c r="DA1" s="13"/>
      <c r="DB1" s="12"/>
      <c r="DC1" s="12"/>
      <c r="DD1" s="12"/>
      <c r="DE1" s="12"/>
      <c r="DF1" s="13"/>
      <c r="DG1" s="12"/>
      <c r="DH1" s="12"/>
      <c r="DI1" s="12"/>
      <c r="DJ1" s="12"/>
      <c r="DK1" s="248"/>
    </row>
    <row r="2" ht="26.25" customHeight="1">
      <c r="A2" t="s" s="249">
        <v>488</v>
      </c>
      <c r="B2" s="15"/>
      <c r="C2" s="7"/>
      <c r="D2" s="93"/>
      <c r="E2" s="79">
        <v>1</v>
      </c>
      <c r="F2" s="79">
        <v>2</v>
      </c>
      <c r="G2" s="79">
        <v>3</v>
      </c>
      <c r="H2" s="79">
        <v>4</v>
      </c>
      <c r="I2" s="79">
        <v>5</v>
      </c>
      <c r="J2" s="75"/>
      <c r="K2" s="75"/>
      <c r="L2" s="75"/>
      <c r="M2" s="75"/>
      <c r="N2" s="75"/>
      <c r="O2" s="75"/>
      <c r="P2" s="75"/>
      <c r="Q2" s="79">
        <v>6</v>
      </c>
      <c r="R2" s="75"/>
      <c r="S2" s="75"/>
      <c r="T2" s="75"/>
      <c r="U2" s="75"/>
      <c r="V2" s="75"/>
      <c r="W2" s="75"/>
      <c r="X2" s="75"/>
      <c r="Y2" s="75"/>
      <c r="Z2" s="79">
        <v>7</v>
      </c>
      <c r="AA2" s="79">
        <v>8</v>
      </c>
      <c r="AB2" s="79">
        <v>9</v>
      </c>
      <c r="AC2" s="79">
        <v>10</v>
      </c>
      <c r="AD2" s="79">
        <v>11</v>
      </c>
      <c r="AE2" s="79">
        <v>12</v>
      </c>
      <c r="AF2" s="79">
        <v>13</v>
      </c>
      <c r="AG2" s="79">
        <v>14</v>
      </c>
      <c r="AH2" s="18"/>
      <c r="AI2" s="18"/>
      <c r="AJ2" t="s" s="19">
        <v>7</v>
      </c>
      <c r="AK2" s="20"/>
      <c r="AL2" s="20"/>
      <c r="AM2" s="20"/>
      <c r="AN2" s="20"/>
      <c r="AO2" s="20"/>
      <c r="AP2" s="20"/>
      <c r="AQ2" s="20"/>
      <c r="AR2" s="21"/>
      <c r="AS2" s="22"/>
      <c r="AT2" s="23"/>
      <c r="AU2" s="24"/>
      <c r="AV2" s="24"/>
      <c r="AW2" s="24"/>
      <c r="AX2" s="24"/>
      <c r="AY2" s="24"/>
      <c r="AZ2" s="24"/>
      <c r="BA2" s="24"/>
      <c r="BB2" s="24"/>
      <c r="BC2" s="24"/>
      <c r="BD2" s="24"/>
      <c r="BE2" s="24"/>
      <c r="BF2" s="23"/>
      <c r="BG2" s="23"/>
      <c r="BH2" s="24"/>
      <c r="BI2" s="24"/>
      <c r="BJ2" s="24"/>
      <c r="BK2" s="24"/>
      <c r="BL2" s="24"/>
      <c r="BM2" s="24"/>
      <c r="BN2" s="24"/>
      <c r="BO2" s="24"/>
      <c r="BP2" s="24"/>
      <c r="BQ2" s="24"/>
      <c r="BR2" s="24"/>
      <c r="BS2" s="23"/>
      <c r="BT2" s="23"/>
      <c r="BU2" s="24"/>
      <c r="BV2" s="24"/>
      <c r="BW2" s="24"/>
      <c r="BX2" s="24"/>
      <c r="BY2" s="24"/>
      <c r="BZ2" s="24"/>
      <c r="CA2" s="24"/>
      <c r="CB2" s="24"/>
      <c r="CC2" s="24"/>
      <c r="CD2" s="24"/>
      <c r="CE2" s="24"/>
      <c r="CF2" s="23"/>
      <c r="CG2" s="23"/>
      <c r="CH2" s="24"/>
      <c r="CI2" s="24"/>
      <c r="CJ2" s="24"/>
      <c r="CK2" s="24"/>
      <c r="CL2" s="24"/>
      <c r="CM2" s="24"/>
      <c r="CN2" s="24"/>
      <c r="CO2" s="24"/>
      <c r="CP2" s="24"/>
      <c r="CQ2" s="24"/>
      <c r="CR2" s="24"/>
      <c r="CS2" s="23"/>
      <c r="CT2" s="25"/>
      <c r="CU2" t="s" s="26">
        <v>8</v>
      </c>
      <c r="CV2" s="27"/>
      <c r="CW2" s="27"/>
      <c r="CX2" s="27"/>
      <c r="CY2" s="28"/>
      <c r="CZ2" s="24"/>
      <c r="DA2" s="25"/>
      <c r="DB2" t="s" s="29">
        <v>9</v>
      </c>
      <c r="DC2" s="30"/>
      <c r="DD2" s="30"/>
      <c r="DE2" s="30"/>
      <c r="DF2" s="18"/>
      <c r="DG2" t="s" s="29">
        <v>10</v>
      </c>
      <c r="DH2" s="30"/>
      <c r="DI2" s="30"/>
      <c r="DJ2" s="30"/>
      <c r="DK2" s="250"/>
    </row>
    <row r="3" ht="54" customHeight="1">
      <c r="A3" s="31">
        <f>SUM(A5:A34)</f>
        <v>20</v>
      </c>
      <c r="B3" s="251"/>
      <c r="C3" t="s" s="252">
        <v>134</v>
      </c>
      <c r="D3" s="253"/>
      <c r="E3" s="35"/>
      <c r="F3" s="35"/>
      <c r="G3" s="35"/>
      <c r="H3" s="35"/>
      <c r="I3" s="98">
        <v>45962</v>
      </c>
      <c r="J3" s="35"/>
      <c r="K3" t="s" s="36">
        <v>489</v>
      </c>
      <c r="L3" s="35"/>
      <c r="M3" s="108">
        <v>20</v>
      </c>
      <c r="N3" s="108">
        <v>10</v>
      </c>
      <c r="O3" s="35"/>
      <c r="P3" s="35"/>
      <c r="Q3" s="35"/>
      <c r="R3" s="108">
        <v>5</v>
      </c>
      <c r="S3" s="35"/>
      <c r="T3" s="35"/>
      <c r="U3" s="35"/>
      <c r="V3" s="35"/>
      <c r="W3" s="35"/>
      <c r="X3" s="35"/>
      <c r="Y3" s="35"/>
      <c r="Z3" s="35"/>
      <c r="AA3" s="35"/>
      <c r="AB3" s="35"/>
      <c r="AC3" s="35"/>
      <c r="AD3" s="35"/>
      <c r="AE3" s="35"/>
      <c r="AF3" s="35"/>
      <c r="AG3" s="35"/>
      <c r="AH3" s="18"/>
      <c r="AI3" s="18"/>
      <c r="AJ3" t="s" s="36">
        <v>142</v>
      </c>
      <c r="AK3" t="s" s="36">
        <v>490</v>
      </c>
      <c r="AL3" t="s" s="36">
        <v>144</v>
      </c>
      <c r="AM3" t="s" s="36">
        <v>145</v>
      </c>
      <c r="AN3" t="s" s="36">
        <v>146</v>
      </c>
      <c r="AO3" t="s" s="36">
        <v>147</v>
      </c>
      <c r="AP3" t="s" s="36">
        <v>401</v>
      </c>
      <c r="AQ3" s="35"/>
      <c r="AR3" t="s" s="36">
        <v>12</v>
      </c>
      <c r="AS3" s="37"/>
      <c r="AT3" s="25"/>
      <c r="AU3" t="s" s="38">
        <v>13</v>
      </c>
      <c r="AV3" s="39"/>
      <c r="AW3" s="39"/>
      <c r="AX3" s="39"/>
      <c r="AY3" s="39"/>
      <c r="AZ3" s="39"/>
      <c r="BA3" s="39"/>
      <c r="BB3" s="39"/>
      <c r="BC3" s="39"/>
      <c r="BD3" s="39"/>
      <c r="BE3" s="40"/>
      <c r="BF3" s="28"/>
      <c r="BG3" s="25"/>
      <c r="BH3" t="s" s="41">
        <v>14</v>
      </c>
      <c r="BI3" s="42"/>
      <c r="BJ3" s="42"/>
      <c r="BK3" s="42"/>
      <c r="BL3" s="42"/>
      <c r="BM3" s="42"/>
      <c r="BN3" s="42"/>
      <c r="BO3" s="42"/>
      <c r="BP3" s="42"/>
      <c r="BQ3" s="42"/>
      <c r="BR3" s="43"/>
      <c r="BS3" s="44"/>
      <c r="BT3" s="25"/>
      <c r="BU3" t="s" s="45">
        <v>15</v>
      </c>
      <c r="BV3" s="46"/>
      <c r="BW3" s="46"/>
      <c r="BX3" s="46"/>
      <c r="BY3" s="46"/>
      <c r="BZ3" s="46"/>
      <c r="CA3" s="46"/>
      <c r="CB3" s="46"/>
      <c r="CC3" s="46"/>
      <c r="CD3" s="46"/>
      <c r="CE3" s="47"/>
      <c r="CF3" s="44"/>
      <c r="CG3" s="25"/>
      <c r="CH3" t="s" s="48">
        <v>16</v>
      </c>
      <c r="CI3" s="49"/>
      <c r="CJ3" s="49"/>
      <c r="CK3" s="49"/>
      <c r="CL3" s="49"/>
      <c r="CM3" s="49"/>
      <c r="CN3" s="49"/>
      <c r="CO3" s="49"/>
      <c r="CP3" s="49"/>
      <c r="CQ3" s="49"/>
      <c r="CR3" s="50"/>
      <c r="CS3" s="44"/>
      <c r="CT3" s="25"/>
      <c r="CU3" t="s" s="51">
        <v>17</v>
      </c>
      <c r="CV3" t="s" s="51">
        <v>18</v>
      </c>
      <c r="CW3" t="s" s="51">
        <v>19</v>
      </c>
      <c r="CX3" t="s" s="51">
        <v>20</v>
      </c>
      <c r="CY3" s="18"/>
      <c r="CZ3" t="s" s="52">
        <v>21</v>
      </c>
      <c r="DA3" s="18"/>
      <c r="DB3" t="s" s="53">
        <v>22</v>
      </c>
      <c r="DC3" t="s" s="53">
        <v>23</v>
      </c>
      <c r="DD3" t="s" s="53">
        <v>24</v>
      </c>
      <c r="DE3" t="s" s="53">
        <v>25</v>
      </c>
      <c r="DF3" s="18"/>
      <c r="DG3" t="s" s="53">
        <v>26</v>
      </c>
      <c r="DH3" t="s" s="53">
        <v>27</v>
      </c>
      <c r="DI3" t="s" s="53">
        <v>28</v>
      </c>
      <c r="DJ3" t="s" s="53">
        <v>29</v>
      </c>
      <c r="DK3" s="250"/>
    </row>
    <row r="4" ht="24" customHeight="1">
      <c r="A4" s="68"/>
      <c r="B4" t="s" s="55">
        <v>30</v>
      </c>
      <c r="C4" t="s" s="55">
        <v>31</v>
      </c>
      <c r="D4" t="s" s="55">
        <v>32</v>
      </c>
      <c r="E4" t="s" s="56">
        <v>148</v>
      </c>
      <c r="F4" t="s" s="57">
        <v>491</v>
      </c>
      <c r="G4" t="s" s="56">
        <v>149</v>
      </c>
      <c r="H4" t="s" s="57">
        <v>492</v>
      </c>
      <c r="I4" t="s" s="56">
        <v>151</v>
      </c>
      <c r="J4" t="s" s="57">
        <v>493</v>
      </c>
      <c r="K4" s="149"/>
      <c r="L4" t="s" s="254">
        <v>142</v>
      </c>
      <c r="M4" t="s" s="57">
        <v>267</v>
      </c>
      <c r="N4" t="s" s="57">
        <v>494</v>
      </c>
      <c r="O4" t="s" s="57">
        <v>137</v>
      </c>
      <c r="P4" t="s" s="57">
        <v>138</v>
      </c>
      <c r="Q4" s="57"/>
      <c r="R4" t="s" s="61">
        <v>495</v>
      </c>
      <c r="S4" t="s" s="61">
        <v>496</v>
      </c>
      <c r="T4" t="s" s="61">
        <v>262</v>
      </c>
      <c r="U4" t="s" s="61">
        <v>497</v>
      </c>
      <c r="V4" t="s" s="61">
        <v>498</v>
      </c>
      <c r="W4" s="58"/>
      <c r="X4" s="58"/>
      <c r="Y4" s="58"/>
      <c r="Z4" t="s" s="61">
        <v>142</v>
      </c>
      <c r="AA4" t="s" s="61">
        <v>137</v>
      </c>
      <c r="AB4" t="s" s="61">
        <v>138</v>
      </c>
      <c r="AC4" t="s" s="61">
        <v>140</v>
      </c>
      <c r="AD4" t="s" s="61">
        <v>499</v>
      </c>
      <c r="AE4" t="s" s="61">
        <v>398</v>
      </c>
      <c r="AF4" s="58"/>
      <c r="AG4" s="58"/>
      <c r="AH4" s="207"/>
      <c r="AI4" s="207"/>
      <c r="AJ4" s="58"/>
      <c r="AK4" s="58"/>
      <c r="AL4" s="58"/>
      <c r="AM4" s="58"/>
      <c r="AN4" s="77">
        <v>15</v>
      </c>
      <c r="AO4" s="77">
        <v>10</v>
      </c>
      <c r="AP4" s="77">
        <v>5</v>
      </c>
      <c r="AQ4" s="58"/>
      <c r="AR4" s="58"/>
      <c r="AS4" s="28"/>
      <c r="AT4" s="60"/>
      <c r="AU4" t="s" s="61">
        <v>33</v>
      </c>
      <c r="AV4" t="s" s="62">
        <v>34</v>
      </c>
      <c r="AW4" s="63"/>
      <c r="AX4" t="s" s="61">
        <v>35</v>
      </c>
      <c r="AY4" t="s" s="62">
        <v>36</v>
      </c>
      <c r="AZ4" s="63"/>
      <c r="BA4" t="s" s="61">
        <v>37</v>
      </c>
      <c r="BB4" t="s" s="62">
        <v>38</v>
      </c>
      <c r="BC4" s="63"/>
      <c r="BD4" t="s" s="61">
        <v>39</v>
      </c>
      <c r="BE4" t="s" s="62">
        <v>40</v>
      </c>
      <c r="BF4" s="28"/>
      <c r="BG4" s="60"/>
      <c r="BH4" t="s" s="61">
        <v>33</v>
      </c>
      <c r="BI4" t="s" s="62">
        <v>34</v>
      </c>
      <c r="BJ4" s="63"/>
      <c r="BK4" t="s" s="61">
        <v>35</v>
      </c>
      <c r="BL4" t="s" s="62">
        <v>36</v>
      </c>
      <c r="BM4" s="63"/>
      <c r="BN4" t="s" s="61">
        <v>37</v>
      </c>
      <c r="BO4" t="s" s="62">
        <v>38</v>
      </c>
      <c r="BP4" s="63"/>
      <c r="BQ4" t="s" s="61">
        <v>39</v>
      </c>
      <c r="BR4" t="s" s="62">
        <v>40</v>
      </c>
      <c r="BS4" s="28"/>
      <c r="BT4" s="60"/>
      <c r="BU4" t="s" s="61">
        <v>33</v>
      </c>
      <c r="BV4" t="s" s="62">
        <v>34</v>
      </c>
      <c r="BW4" s="63"/>
      <c r="BX4" t="s" s="61">
        <v>35</v>
      </c>
      <c r="BY4" t="s" s="62">
        <v>36</v>
      </c>
      <c r="BZ4" s="63"/>
      <c r="CA4" t="s" s="61">
        <v>37</v>
      </c>
      <c r="CB4" t="s" s="62">
        <v>38</v>
      </c>
      <c r="CC4" s="63"/>
      <c r="CD4" t="s" s="61">
        <v>39</v>
      </c>
      <c r="CE4" t="s" s="62">
        <v>40</v>
      </c>
      <c r="CF4" s="28"/>
      <c r="CG4" s="60"/>
      <c r="CH4" t="s" s="61">
        <v>33</v>
      </c>
      <c r="CI4" t="s" s="62">
        <v>34</v>
      </c>
      <c r="CJ4" s="63"/>
      <c r="CK4" t="s" s="61">
        <v>35</v>
      </c>
      <c r="CL4" t="s" s="62">
        <v>36</v>
      </c>
      <c r="CM4" s="63"/>
      <c r="CN4" t="s" s="61">
        <v>37</v>
      </c>
      <c r="CO4" t="s" s="62">
        <v>38</v>
      </c>
      <c r="CP4" s="63"/>
      <c r="CQ4" t="s" s="61">
        <v>39</v>
      </c>
      <c r="CR4" t="s" s="62">
        <v>40</v>
      </c>
      <c r="CS4" s="64"/>
      <c r="CT4" s="60"/>
      <c r="CU4" s="65"/>
      <c r="CV4" s="65"/>
      <c r="CW4" s="65"/>
      <c r="CX4" s="65"/>
      <c r="CY4" s="18"/>
      <c r="CZ4" s="66"/>
      <c r="DA4" s="18"/>
      <c r="DB4" s="67"/>
      <c r="DC4" s="67"/>
      <c r="DD4" s="67"/>
      <c r="DE4" s="67"/>
      <c r="DF4" s="18"/>
      <c r="DG4" s="67"/>
      <c r="DH4" s="67"/>
      <c r="DI4" s="67"/>
      <c r="DJ4" s="67"/>
      <c r="DK4" s="250"/>
    </row>
    <row r="5" ht="24" customHeight="1">
      <c r="A5" s="255">
        <v>1</v>
      </c>
      <c r="B5" s="69">
        <v>1</v>
      </c>
      <c r="C5" t="s" s="70">
        <v>500</v>
      </c>
      <c r="D5" t="s" s="71">
        <v>501</v>
      </c>
      <c r="E5" t="s" s="72">
        <v>161</v>
      </c>
      <c r="F5" t="s" s="107">
        <v>43</v>
      </c>
      <c r="G5" t="s" s="72">
        <v>43</v>
      </c>
      <c r="H5" t="s" s="107">
        <v>43</v>
      </c>
      <c r="I5" t="s" s="72">
        <v>43</v>
      </c>
      <c r="J5" t="s" s="107">
        <v>43</v>
      </c>
      <c r="K5" t="s" s="210">
        <v>161</v>
      </c>
      <c r="L5" s="256">
        <v>10</v>
      </c>
      <c r="M5" s="215">
        <v>20</v>
      </c>
      <c r="N5" s="215">
        <v>10</v>
      </c>
      <c r="O5" s="215">
        <v>9</v>
      </c>
      <c r="P5" s="215">
        <v>10</v>
      </c>
      <c r="Q5" s="73"/>
      <c r="R5" s="79">
        <v>0</v>
      </c>
      <c r="S5" s="79">
        <v>8</v>
      </c>
      <c r="T5" s="79">
        <v>10</v>
      </c>
      <c r="U5" s="79">
        <v>10</v>
      </c>
      <c r="V5" s="79">
        <v>10</v>
      </c>
      <c r="W5" s="79">
        <v>2</v>
      </c>
      <c r="X5" s="163">
        <f>SUM(L5:W5)</f>
        <v>99</v>
      </c>
      <c r="Y5" s="73"/>
      <c r="Z5" s="79">
        <v>10</v>
      </c>
      <c r="AA5" s="110">
        <v>10</v>
      </c>
      <c r="AB5" s="79">
        <v>10</v>
      </c>
      <c r="AC5" s="110">
        <v>19</v>
      </c>
      <c r="AD5" s="79">
        <v>14</v>
      </c>
      <c r="AE5" s="110">
        <v>20</v>
      </c>
      <c r="AF5" s="79">
        <v>15</v>
      </c>
      <c r="AG5" s="111">
        <f>Z5+AA5+AB5+AE5+AF5+AC5+AD5</f>
        <v>98</v>
      </c>
      <c r="AH5" s="257"/>
      <c r="AI5" s="69">
        <v>1</v>
      </c>
      <c r="AJ5" s="110">
        <v>10</v>
      </c>
      <c r="AK5" s="79">
        <v>20</v>
      </c>
      <c r="AL5" s="110">
        <v>20</v>
      </c>
      <c r="AM5" s="79">
        <v>10</v>
      </c>
      <c r="AN5" s="79">
        <v>12</v>
      </c>
      <c r="AO5" s="110">
        <v>10</v>
      </c>
      <c r="AP5" s="79">
        <v>3</v>
      </c>
      <c r="AQ5" s="110">
        <v>10</v>
      </c>
      <c r="AR5" s="79">
        <f>SUM(AJ5:AQ5)</f>
        <v>95</v>
      </c>
      <c r="AS5" s="18"/>
      <c r="AT5" s="78">
        <v>1</v>
      </c>
      <c r="AU5" s="110">
        <f>AR5+0</f>
        <v>95</v>
      </c>
      <c r="AV5" s="75"/>
      <c r="AW5" s="18"/>
      <c r="AX5" s="110">
        <f>AG5</f>
        <v>98</v>
      </c>
      <c r="AY5" s="75"/>
      <c r="AZ5" s="18"/>
      <c r="BA5" s="110">
        <f>X5</f>
        <v>99</v>
      </c>
      <c r="BB5" s="75"/>
      <c r="BC5" s="18"/>
      <c r="BD5" s="76"/>
      <c r="BE5" s="75"/>
      <c r="BF5" s="18"/>
      <c r="BG5" s="78">
        <v>1</v>
      </c>
      <c r="BH5" s="110">
        <f>AR5-1</f>
        <v>94</v>
      </c>
      <c r="BI5" s="75"/>
      <c r="BJ5" s="18"/>
      <c r="BK5" s="110">
        <f>AG5-1</f>
        <v>97</v>
      </c>
      <c r="BL5" s="75"/>
      <c r="BM5" s="18"/>
      <c r="BN5" s="110">
        <f>X5-1</f>
        <v>98</v>
      </c>
      <c r="BO5" s="75"/>
      <c r="BP5" s="18"/>
      <c r="BQ5" s="76"/>
      <c r="BR5" s="75"/>
      <c r="BS5" s="18"/>
      <c r="BT5" s="78">
        <v>1</v>
      </c>
      <c r="BU5" s="110">
        <f>AR5+2</f>
        <v>97</v>
      </c>
      <c r="BV5" s="75"/>
      <c r="BW5" s="18"/>
      <c r="BX5" s="110">
        <f>AG5+2</f>
        <v>100</v>
      </c>
      <c r="BY5" s="75"/>
      <c r="BZ5" s="18"/>
      <c r="CA5" s="110">
        <v>100</v>
      </c>
      <c r="CB5" s="75"/>
      <c r="CC5" s="18"/>
      <c r="CD5" s="76"/>
      <c r="CE5" s="75"/>
      <c r="CF5" s="18"/>
      <c r="CG5" s="78">
        <v>1</v>
      </c>
      <c r="CH5" s="110">
        <f>AR5+1</f>
        <v>96</v>
      </c>
      <c r="CI5" s="75"/>
      <c r="CJ5" s="18"/>
      <c r="CK5" s="110">
        <f>AG5+1</f>
        <v>99</v>
      </c>
      <c r="CL5" s="75"/>
      <c r="CM5" s="18"/>
      <c r="CN5" s="110">
        <f>X5+1</f>
        <v>100</v>
      </c>
      <c r="CO5" s="75"/>
      <c r="CP5" s="18"/>
      <c r="CQ5" s="76"/>
      <c r="CR5" s="75"/>
      <c r="CS5" s="18"/>
      <c r="CT5" s="78">
        <v>1</v>
      </c>
      <c r="CU5" s="79">
        <f>(AU5+AX5+BA5+BD5)/4</f>
        <v>73</v>
      </c>
      <c r="CV5" s="79">
        <f>(BH5+BK5+BN5+BQ5)/4</f>
        <v>72.25</v>
      </c>
      <c r="CW5" s="79">
        <f>(BU5+BX5+CA5+CD5)/4</f>
        <v>74.25</v>
      </c>
      <c r="CX5" s="79">
        <f>(CH5+CK5+CN5+CQ5)/4</f>
        <v>73.75</v>
      </c>
      <c r="CY5" s="18"/>
      <c r="CZ5" s="80">
        <f>SUM(CU5:CX5)/4</f>
        <v>73.3125</v>
      </c>
      <c r="DA5" s="18"/>
      <c r="DB5" s="79">
        <f>CZ5*0.5</f>
        <v>36.65625</v>
      </c>
      <c r="DC5" s="75"/>
      <c r="DD5" s="79">
        <f>DC5*0.5</f>
        <v>0</v>
      </c>
      <c r="DE5" s="81">
        <f>DD5+DB5</f>
        <v>36.65625</v>
      </c>
      <c r="DF5" s="18"/>
      <c r="DG5" s="79">
        <f>CZ5*0.3</f>
        <v>21.99375</v>
      </c>
      <c r="DH5" s="75"/>
      <c r="DI5" s="79">
        <f>DH5*0.7</f>
        <v>0</v>
      </c>
      <c r="DJ5" s="81">
        <f>DI5+DG5</f>
        <v>21.99375</v>
      </c>
      <c r="DK5" s="250"/>
    </row>
    <row r="6" ht="24" customHeight="1">
      <c r="A6" s="255">
        <v>1</v>
      </c>
      <c r="B6" s="69">
        <v>2</v>
      </c>
      <c r="C6" t="s" s="70">
        <v>502</v>
      </c>
      <c r="D6" t="s" s="71">
        <v>503</v>
      </c>
      <c r="E6" t="s" s="72">
        <v>43</v>
      </c>
      <c r="F6" t="s" s="113">
        <v>43</v>
      </c>
      <c r="G6" t="s" s="72">
        <v>43</v>
      </c>
      <c r="H6" s="82"/>
      <c r="I6" t="s" s="72">
        <v>43</v>
      </c>
      <c r="J6" t="s" s="113">
        <v>43</v>
      </c>
      <c r="K6" t="s" s="210">
        <v>161</v>
      </c>
      <c r="L6" s="256">
        <v>10</v>
      </c>
      <c r="M6" s="222">
        <v>17</v>
      </c>
      <c r="N6" s="222">
        <v>5</v>
      </c>
      <c r="O6" s="222">
        <v>10</v>
      </c>
      <c r="P6" s="222">
        <v>10</v>
      </c>
      <c r="Q6" s="82"/>
      <c r="R6" s="79">
        <v>5</v>
      </c>
      <c r="S6" s="79">
        <v>7</v>
      </c>
      <c r="T6" s="79">
        <v>8</v>
      </c>
      <c r="U6" s="79">
        <v>7</v>
      </c>
      <c r="V6" s="79">
        <v>7</v>
      </c>
      <c r="W6" s="79">
        <v>2</v>
      </c>
      <c r="X6" s="163">
        <v>90</v>
      </c>
      <c r="Y6" s="82"/>
      <c r="Z6" s="79">
        <v>10</v>
      </c>
      <c r="AA6" s="110">
        <v>10</v>
      </c>
      <c r="AB6" s="79">
        <v>10</v>
      </c>
      <c r="AC6" s="110">
        <v>18</v>
      </c>
      <c r="AD6" s="79">
        <v>14</v>
      </c>
      <c r="AE6" s="110">
        <v>20</v>
      </c>
      <c r="AF6" s="79">
        <v>15</v>
      </c>
      <c r="AG6" s="111">
        <f>Z6+AA6+AB6+AE6+AF6+AC6+AD6</f>
        <v>97</v>
      </c>
      <c r="AH6" s="257"/>
      <c r="AI6" s="69">
        <v>2</v>
      </c>
      <c r="AJ6" s="110">
        <v>10</v>
      </c>
      <c r="AK6" s="79">
        <v>20</v>
      </c>
      <c r="AL6" s="110">
        <v>20</v>
      </c>
      <c r="AM6" s="79">
        <v>9</v>
      </c>
      <c r="AN6" s="79">
        <v>14</v>
      </c>
      <c r="AO6" s="110">
        <v>10</v>
      </c>
      <c r="AP6" s="79">
        <v>3</v>
      </c>
      <c r="AQ6" s="110">
        <v>10</v>
      </c>
      <c r="AR6" s="79">
        <f>SUM(AJ6:AQ6)</f>
        <v>96</v>
      </c>
      <c r="AS6" s="18"/>
      <c r="AT6" s="78">
        <v>2</v>
      </c>
      <c r="AU6" s="110">
        <f>AR6+0</f>
        <v>96</v>
      </c>
      <c r="AV6" s="75"/>
      <c r="AW6" s="18"/>
      <c r="AX6" s="110">
        <f>AG6</f>
        <v>97</v>
      </c>
      <c r="AY6" s="75"/>
      <c r="AZ6" s="18"/>
      <c r="BA6" s="110">
        <f>X6</f>
        <v>90</v>
      </c>
      <c r="BB6" s="75"/>
      <c r="BC6" s="18"/>
      <c r="BD6" s="76"/>
      <c r="BE6" s="75"/>
      <c r="BF6" s="18"/>
      <c r="BG6" s="78">
        <v>2</v>
      </c>
      <c r="BH6" s="110">
        <f>AR6-1</f>
        <v>95</v>
      </c>
      <c r="BI6" s="75"/>
      <c r="BJ6" s="18"/>
      <c r="BK6" s="110">
        <f>AG6-1</f>
        <v>96</v>
      </c>
      <c r="BL6" s="75"/>
      <c r="BM6" s="18"/>
      <c r="BN6" s="110">
        <f>X6-1</f>
        <v>89</v>
      </c>
      <c r="BO6" s="75"/>
      <c r="BP6" s="18"/>
      <c r="BQ6" s="76"/>
      <c r="BR6" s="75"/>
      <c r="BS6" s="18"/>
      <c r="BT6" s="78">
        <v>2</v>
      </c>
      <c r="BU6" s="110">
        <f>AR6+2</f>
        <v>98</v>
      </c>
      <c r="BV6" s="75"/>
      <c r="BW6" s="18"/>
      <c r="BX6" s="110">
        <f>AG6+2</f>
        <v>99</v>
      </c>
      <c r="BY6" s="75"/>
      <c r="BZ6" s="18"/>
      <c r="CA6" s="110">
        <f>X6+2</f>
        <v>92</v>
      </c>
      <c r="CB6" s="75"/>
      <c r="CC6" s="18"/>
      <c r="CD6" s="76"/>
      <c r="CE6" s="75"/>
      <c r="CF6" s="18"/>
      <c r="CG6" s="78">
        <v>2</v>
      </c>
      <c r="CH6" s="110">
        <f>AR6+1</f>
        <v>97</v>
      </c>
      <c r="CI6" s="75"/>
      <c r="CJ6" s="18"/>
      <c r="CK6" s="110">
        <f>AG6+1</f>
        <v>98</v>
      </c>
      <c r="CL6" s="75"/>
      <c r="CM6" s="18"/>
      <c r="CN6" s="110">
        <f>X6+1</f>
        <v>91</v>
      </c>
      <c r="CO6" s="75"/>
      <c r="CP6" s="18"/>
      <c r="CQ6" s="76"/>
      <c r="CR6" s="75"/>
      <c r="CS6" s="18"/>
      <c r="CT6" s="78">
        <v>2</v>
      </c>
      <c r="CU6" s="79">
        <f>(AU6+AX6+BA6+BD6)/4</f>
        <v>70.75</v>
      </c>
      <c r="CV6" s="79">
        <f>(BH6+BK6+BN6+BQ6)/4</f>
        <v>70</v>
      </c>
      <c r="CW6" s="79">
        <f>(BU6+BX6+CA6+CD6)/4</f>
        <v>72.25</v>
      </c>
      <c r="CX6" s="79">
        <f>(CH6+CK6+CN6+CQ6)/4</f>
        <v>71.5</v>
      </c>
      <c r="CY6" s="18"/>
      <c r="CZ6" s="80">
        <f>SUM(CU6:CX6)/4</f>
        <v>71.125</v>
      </c>
      <c r="DA6" s="18"/>
      <c r="DB6" s="79">
        <f>CZ6*0.5</f>
        <v>35.5625</v>
      </c>
      <c r="DC6" s="75"/>
      <c r="DD6" s="79">
        <f>DC6*0.5</f>
        <v>0</v>
      </c>
      <c r="DE6" s="81">
        <f>DD6+DB6</f>
        <v>35.5625</v>
      </c>
      <c r="DF6" s="18"/>
      <c r="DG6" s="79">
        <f>CZ6*0.3</f>
        <v>21.3375</v>
      </c>
      <c r="DH6" s="75"/>
      <c r="DI6" s="79">
        <f>DH6*0.7</f>
        <v>0</v>
      </c>
      <c r="DJ6" s="81">
        <f>DI6+DG6</f>
        <v>21.3375</v>
      </c>
      <c r="DK6" s="250"/>
    </row>
    <row r="7" ht="24" customHeight="1">
      <c r="A7" s="255">
        <v>1</v>
      </c>
      <c r="B7" s="69">
        <v>3</v>
      </c>
      <c r="C7" t="s" s="70">
        <v>504</v>
      </c>
      <c r="D7" t="s" s="71">
        <v>505</v>
      </c>
      <c r="E7" t="s" s="72">
        <v>161</v>
      </c>
      <c r="F7" t="s" s="113">
        <v>43</v>
      </c>
      <c r="G7" t="s" s="72">
        <v>43</v>
      </c>
      <c r="H7" s="82"/>
      <c r="I7" t="s" s="72">
        <v>43</v>
      </c>
      <c r="J7" t="s" s="113">
        <v>43</v>
      </c>
      <c r="K7" t="s" s="210">
        <v>43</v>
      </c>
      <c r="L7" s="256">
        <v>10</v>
      </c>
      <c r="M7" s="222">
        <v>18</v>
      </c>
      <c r="N7" s="222">
        <v>0</v>
      </c>
      <c r="O7" s="222">
        <v>8</v>
      </c>
      <c r="P7" s="222">
        <v>9</v>
      </c>
      <c r="Q7" s="82"/>
      <c r="R7" s="79">
        <v>0</v>
      </c>
      <c r="S7" s="132">
        <v>0</v>
      </c>
      <c r="T7" s="134">
        <v>0</v>
      </c>
      <c r="U7" s="79">
        <v>0</v>
      </c>
      <c r="V7" s="79">
        <v>0</v>
      </c>
      <c r="W7" s="79">
        <v>2</v>
      </c>
      <c r="X7" s="258">
        <f>SUM(L7:W7)</f>
        <v>47</v>
      </c>
      <c r="Y7" s="82"/>
      <c r="Z7" s="79">
        <v>10</v>
      </c>
      <c r="AA7" s="110">
        <v>8</v>
      </c>
      <c r="AB7" s="79">
        <v>8</v>
      </c>
      <c r="AC7" s="110">
        <v>15</v>
      </c>
      <c r="AD7" s="79">
        <v>0</v>
      </c>
      <c r="AE7" s="110">
        <v>20</v>
      </c>
      <c r="AF7" s="79">
        <v>15</v>
      </c>
      <c r="AG7" s="128">
        <f>Z7+AA7+AB7+AE7+AF7+AC7+AD7</f>
        <v>76</v>
      </c>
      <c r="AH7" t="s" s="259">
        <v>506</v>
      </c>
      <c r="AI7" s="69">
        <v>3</v>
      </c>
      <c r="AJ7" s="123">
        <v>8</v>
      </c>
      <c r="AK7" s="123">
        <v>14</v>
      </c>
      <c r="AL7" s="123">
        <v>20</v>
      </c>
      <c r="AM7" s="123">
        <v>0</v>
      </c>
      <c r="AN7" s="123">
        <v>0</v>
      </c>
      <c r="AO7" s="123">
        <v>10</v>
      </c>
      <c r="AP7" s="124"/>
      <c r="AQ7" s="123">
        <v>10</v>
      </c>
      <c r="AR7" s="123">
        <f>SUM(AJ7:AQ7)</f>
        <v>62</v>
      </c>
      <c r="AS7" s="18"/>
      <c r="AT7" s="78">
        <v>3</v>
      </c>
      <c r="AU7" s="110">
        <f>AR7+0</f>
        <v>62</v>
      </c>
      <c r="AV7" s="79">
        <v>65</v>
      </c>
      <c r="AW7" s="18"/>
      <c r="AX7" s="110">
        <f>AG7</f>
        <v>76</v>
      </c>
      <c r="AY7" s="75"/>
      <c r="AZ7" s="18"/>
      <c r="BA7" s="110">
        <f>X7</f>
        <v>47</v>
      </c>
      <c r="BB7" s="75"/>
      <c r="BC7" s="18"/>
      <c r="BD7" s="76"/>
      <c r="BE7" s="75"/>
      <c r="BF7" s="18"/>
      <c r="BG7" s="78">
        <v>3</v>
      </c>
      <c r="BH7" s="110">
        <f>AR7-1</f>
        <v>61</v>
      </c>
      <c r="BI7" s="79">
        <v>65</v>
      </c>
      <c r="BJ7" s="18"/>
      <c r="BK7" s="110">
        <f>AG7-1</f>
        <v>75</v>
      </c>
      <c r="BL7" s="75"/>
      <c r="BM7" s="18"/>
      <c r="BN7" s="110">
        <f>X7-1</f>
        <v>46</v>
      </c>
      <c r="BO7" s="75"/>
      <c r="BP7" s="18"/>
      <c r="BQ7" s="76"/>
      <c r="BR7" s="75"/>
      <c r="BS7" s="18"/>
      <c r="BT7" s="78">
        <v>3</v>
      </c>
      <c r="BU7" s="110">
        <f>AR7+2</f>
        <v>64</v>
      </c>
      <c r="BV7" s="79">
        <v>65</v>
      </c>
      <c r="BW7" s="18"/>
      <c r="BX7" s="110">
        <f>AG7+2</f>
        <v>78</v>
      </c>
      <c r="BY7" s="75"/>
      <c r="BZ7" s="18"/>
      <c r="CA7" s="110">
        <f>X7+2</f>
        <v>49</v>
      </c>
      <c r="CB7" s="75"/>
      <c r="CC7" s="18"/>
      <c r="CD7" s="76"/>
      <c r="CE7" s="75"/>
      <c r="CF7" s="18"/>
      <c r="CG7" s="78">
        <v>3</v>
      </c>
      <c r="CH7" s="110">
        <f>AR7+1</f>
        <v>63</v>
      </c>
      <c r="CI7" s="79">
        <v>65</v>
      </c>
      <c r="CJ7" s="18"/>
      <c r="CK7" s="110">
        <f>AG7+1</f>
        <v>77</v>
      </c>
      <c r="CL7" s="75"/>
      <c r="CM7" s="18"/>
      <c r="CN7" s="110">
        <f>X7+1</f>
        <v>48</v>
      </c>
      <c r="CO7" s="75"/>
      <c r="CP7" s="18"/>
      <c r="CQ7" s="76"/>
      <c r="CR7" s="75"/>
      <c r="CS7" s="18"/>
      <c r="CT7" s="78">
        <v>3</v>
      </c>
      <c r="CU7" s="79">
        <f>(AU7+AX7+BA7+BD7)/4</f>
        <v>46.25</v>
      </c>
      <c r="CV7" s="79">
        <f>(BH7+BK7+BN7+BQ7)/4</f>
        <v>45.5</v>
      </c>
      <c r="CW7" s="79">
        <f>(BU7+BX7+CA7+CD7)/4</f>
        <v>47.75</v>
      </c>
      <c r="CX7" s="79">
        <f>(CH7+CK7+CN7+CQ7)/4</f>
        <v>47</v>
      </c>
      <c r="CY7" s="18"/>
      <c r="CZ7" s="80">
        <f>SUM(CU7:CX7)/4</f>
        <v>46.625</v>
      </c>
      <c r="DA7" s="18"/>
      <c r="DB7" s="79">
        <f>CZ7*0.5</f>
        <v>23.3125</v>
      </c>
      <c r="DC7" s="75"/>
      <c r="DD7" s="79">
        <f>DC7*0.5</f>
        <v>0</v>
      </c>
      <c r="DE7" s="81">
        <f>DD7+DB7</f>
        <v>23.3125</v>
      </c>
      <c r="DF7" s="18"/>
      <c r="DG7" s="79">
        <f>CZ7*0.3</f>
        <v>13.9875</v>
      </c>
      <c r="DH7" s="75"/>
      <c r="DI7" s="79">
        <f>DH7*0.7</f>
        <v>0</v>
      </c>
      <c r="DJ7" s="81">
        <f>DI7+DG7</f>
        <v>13.9875</v>
      </c>
      <c r="DK7" s="250"/>
    </row>
    <row r="8" ht="24" customHeight="1">
      <c r="A8" s="68"/>
      <c r="B8" s="69">
        <v>4</v>
      </c>
      <c r="C8" t="s" s="70">
        <v>507</v>
      </c>
      <c r="D8" t="s" s="71">
        <v>508</v>
      </c>
      <c r="E8" t="s" s="72">
        <v>163</v>
      </c>
      <c r="F8" t="s" s="113">
        <v>43</v>
      </c>
      <c r="G8" t="s" s="72">
        <v>43</v>
      </c>
      <c r="H8" s="82"/>
      <c r="I8" t="s" s="72">
        <v>43</v>
      </c>
      <c r="J8" t="s" s="113">
        <v>43</v>
      </c>
      <c r="K8" t="s" s="210">
        <v>43</v>
      </c>
      <c r="L8" s="256">
        <v>10</v>
      </c>
      <c r="M8" s="222">
        <v>15</v>
      </c>
      <c r="N8" s="222">
        <v>10</v>
      </c>
      <c r="O8" s="222">
        <v>10</v>
      </c>
      <c r="P8" s="222">
        <v>10</v>
      </c>
      <c r="Q8" s="82"/>
      <c r="R8" s="79">
        <v>5</v>
      </c>
      <c r="S8" s="79">
        <v>7</v>
      </c>
      <c r="T8" s="79">
        <v>8</v>
      </c>
      <c r="U8" s="79">
        <v>9</v>
      </c>
      <c r="V8" s="79">
        <v>10</v>
      </c>
      <c r="W8" s="79">
        <v>2</v>
      </c>
      <c r="X8" s="163">
        <f>SUM(L8:W8)</f>
        <v>96</v>
      </c>
      <c r="Y8" s="82"/>
      <c r="Z8" s="79">
        <v>10</v>
      </c>
      <c r="AA8" s="110">
        <v>9</v>
      </c>
      <c r="AB8" s="79">
        <v>10</v>
      </c>
      <c r="AC8" s="110">
        <v>18</v>
      </c>
      <c r="AD8" s="79">
        <v>14</v>
      </c>
      <c r="AE8" s="110">
        <v>20</v>
      </c>
      <c r="AF8" s="79">
        <v>15</v>
      </c>
      <c r="AG8" s="111">
        <f>Z8+AA8+AB8+AE8+AF8+AC8+AD8</f>
        <v>96</v>
      </c>
      <c r="AH8" s="257"/>
      <c r="AI8" s="69">
        <v>4</v>
      </c>
      <c r="AJ8" s="110">
        <v>10</v>
      </c>
      <c r="AK8" s="79">
        <v>18</v>
      </c>
      <c r="AL8" s="110">
        <v>20</v>
      </c>
      <c r="AM8" s="79">
        <v>10</v>
      </c>
      <c r="AN8" s="79">
        <v>12</v>
      </c>
      <c r="AO8" s="110">
        <v>9</v>
      </c>
      <c r="AP8" s="79">
        <v>4</v>
      </c>
      <c r="AQ8" s="110">
        <v>10</v>
      </c>
      <c r="AR8" s="79">
        <f>SUM(AJ8:AQ8)</f>
        <v>93</v>
      </c>
      <c r="AS8" s="18"/>
      <c r="AT8" s="78">
        <v>4</v>
      </c>
      <c r="AU8" s="110">
        <f>AR8+0</f>
        <v>93</v>
      </c>
      <c r="AV8" s="75"/>
      <c r="AW8" s="18"/>
      <c r="AX8" s="110">
        <f>AG8</f>
        <v>96</v>
      </c>
      <c r="AY8" s="75"/>
      <c r="AZ8" s="18"/>
      <c r="BA8" s="110">
        <f>X8</f>
        <v>96</v>
      </c>
      <c r="BB8" s="75"/>
      <c r="BC8" s="18"/>
      <c r="BD8" s="76"/>
      <c r="BE8" s="75"/>
      <c r="BF8" s="18"/>
      <c r="BG8" s="78">
        <v>4</v>
      </c>
      <c r="BH8" s="110">
        <f>AR8-1</f>
        <v>92</v>
      </c>
      <c r="BI8" s="75"/>
      <c r="BJ8" s="18"/>
      <c r="BK8" s="110">
        <f>AG8-1</f>
        <v>95</v>
      </c>
      <c r="BL8" s="75"/>
      <c r="BM8" s="18"/>
      <c r="BN8" s="110">
        <f>X8-1</f>
        <v>95</v>
      </c>
      <c r="BO8" s="75"/>
      <c r="BP8" s="18"/>
      <c r="BQ8" s="76"/>
      <c r="BR8" s="75"/>
      <c r="BS8" s="18"/>
      <c r="BT8" s="78">
        <v>4</v>
      </c>
      <c r="BU8" s="110">
        <f>AR8+2</f>
        <v>95</v>
      </c>
      <c r="BV8" s="75"/>
      <c r="BW8" s="18"/>
      <c r="BX8" s="110">
        <f>AG8+2</f>
        <v>98</v>
      </c>
      <c r="BY8" s="75"/>
      <c r="BZ8" s="18"/>
      <c r="CA8" s="110">
        <f>X8+2</f>
        <v>98</v>
      </c>
      <c r="CB8" s="75"/>
      <c r="CC8" s="18"/>
      <c r="CD8" s="76"/>
      <c r="CE8" s="75"/>
      <c r="CF8" s="18"/>
      <c r="CG8" s="78">
        <v>4</v>
      </c>
      <c r="CH8" s="110">
        <f>AR8+1</f>
        <v>94</v>
      </c>
      <c r="CI8" s="75"/>
      <c r="CJ8" s="18"/>
      <c r="CK8" s="110">
        <f>AG8+1</f>
        <v>97</v>
      </c>
      <c r="CL8" s="75"/>
      <c r="CM8" s="18"/>
      <c r="CN8" s="110">
        <f>X8+1</f>
        <v>97</v>
      </c>
      <c r="CO8" s="75"/>
      <c r="CP8" s="18"/>
      <c r="CQ8" s="76"/>
      <c r="CR8" s="75"/>
      <c r="CS8" s="18"/>
      <c r="CT8" s="78">
        <v>4</v>
      </c>
      <c r="CU8" s="79">
        <f>(AU8+AX8+BA8+BD8)/4</f>
        <v>71.25</v>
      </c>
      <c r="CV8" s="79">
        <f>(BH8+BK8+BN8+BQ8)/4</f>
        <v>70.5</v>
      </c>
      <c r="CW8" s="79">
        <f>(BU8+BX8+CA8+CD8)/4</f>
        <v>72.75</v>
      </c>
      <c r="CX8" s="79">
        <f>(CH8+CK8+CN8+CQ8)/4</f>
        <v>72</v>
      </c>
      <c r="CY8" s="18"/>
      <c r="CZ8" s="80">
        <f>SUM(CU8:CX8)/4</f>
        <v>71.625</v>
      </c>
      <c r="DA8" s="18"/>
      <c r="DB8" s="79">
        <f>CZ8*0.5</f>
        <v>35.8125</v>
      </c>
      <c r="DC8" s="75"/>
      <c r="DD8" s="79">
        <f>DC8*0.5</f>
        <v>0</v>
      </c>
      <c r="DE8" s="81">
        <f>DD8+DB8</f>
        <v>35.8125</v>
      </c>
      <c r="DF8" s="18"/>
      <c r="DG8" s="79">
        <f>CZ8*0.3</f>
        <v>21.4875</v>
      </c>
      <c r="DH8" s="75"/>
      <c r="DI8" s="79">
        <f>DH8*0.7</f>
        <v>0</v>
      </c>
      <c r="DJ8" s="81">
        <f>DI8+DG8</f>
        <v>21.4875</v>
      </c>
      <c r="DK8" s="250"/>
    </row>
    <row r="9" ht="24" customHeight="1">
      <c r="A9" s="255">
        <v>1</v>
      </c>
      <c r="B9" s="69">
        <v>5</v>
      </c>
      <c r="C9" t="s" s="70">
        <v>509</v>
      </c>
      <c r="D9" t="s" s="71">
        <v>510</v>
      </c>
      <c r="E9" t="s" s="72">
        <v>161</v>
      </c>
      <c r="F9" t="s" s="113">
        <v>43</v>
      </c>
      <c r="G9" t="s" s="72">
        <v>43</v>
      </c>
      <c r="H9" s="82"/>
      <c r="I9" t="s" s="72">
        <v>161</v>
      </c>
      <c r="J9" t="s" s="113">
        <v>43</v>
      </c>
      <c r="K9" t="s" s="210">
        <v>43</v>
      </c>
      <c r="L9" s="256">
        <v>10</v>
      </c>
      <c r="M9" s="222">
        <v>0</v>
      </c>
      <c r="N9" s="222">
        <v>0</v>
      </c>
      <c r="O9" s="222">
        <v>8</v>
      </c>
      <c r="P9" s="222">
        <v>5</v>
      </c>
      <c r="Q9" s="82"/>
      <c r="R9" s="79">
        <v>0</v>
      </c>
      <c r="S9" s="79">
        <v>0</v>
      </c>
      <c r="T9" s="79">
        <v>0</v>
      </c>
      <c r="U9" s="79">
        <v>0</v>
      </c>
      <c r="V9" s="79">
        <v>0</v>
      </c>
      <c r="W9" s="79">
        <v>2</v>
      </c>
      <c r="X9" s="163">
        <f>SUM(L9:W9)</f>
        <v>25</v>
      </c>
      <c r="Y9" t="s" s="113">
        <v>511</v>
      </c>
      <c r="Z9" s="79">
        <v>8</v>
      </c>
      <c r="AA9" s="110">
        <v>7</v>
      </c>
      <c r="AB9" s="79">
        <v>5</v>
      </c>
      <c r="AC9" s="110">
        <v>0</v>
      </c>
      <c r="AD9" s="79">
        <v>0</v>
      </c>
      <c r="AE9" s="110">
        <v>0</v>
      </c>
      <c r="AF9" s="79">
        <v>15</v>
      </c>
      <c r="AG9" s="111">
        <f>Z9+AA9+AB9+AE9+AF9+AC9+AD9</f>
        <v>35</v>
      </c>
      <c r="AH9" s="260"/>
      <c r="AI9" s="261">
        <v>5</v>
      </c>
      <c r="AJ9" s="137">
        <v>8</v>
      </c>
      <c r="AK9" s="137">
        <v>0</v>
      </c>
      <c r="AL9" s="137">
        <v>20</v>
      </c>
      <c r="AM9" s="137">
        <v>0</v>
      </c>
      <c r="AN9" s="137">
        <v>0</v>
      </c>
      <c r="AO9" s="137">
        <v>6</v>
      </c>
      <c r="AP9" s="137">
        <v>0</v>
      </c>
      <c r="AQ9" s="110">
        <v>10</v>
      </c>
      <c r="AR9" s="137">
        <f>SUM(AJ9:AQ9)</f>
        <v>44</v>
      </c>
      <c r="AS9" s="18"/>
      <c r="AT9" s="78">
        <v>5</v>
      </c>
      <c r="AU9" s="110">
        <f>AR9+0</f>
        <v>44</v>
      </c>
      <c r="AV9" s="79">
        <v>45</v>
      </c>
      <c r="AW9" s="18"/>
      <c r="AX9" s="110">
        <f>AG9</f>
        <v>35</v>
      </c>
      <c r="AY9" s="79">
        <v>40</v>
      </c>
      <c r="AZ9" s="18"/>
      <c r="BA9" s="110">
        <f>X9</f>
        <v>25</v>
      </c>
      <c r="BB9" s="75"/>
      <c r="BC9" s="18"/>
      <c r="BD9" s="76"/>
      <c r="BE9" s="75"/>
      <c r="BF9" s="18"/>
      <c r="BG9" s="78">
        <v>5</v>
      </c>
      <c r="BH9" s="110">
        <f>AR9-1</f>
        <v>43</v>
      </c>
      <c r="BI9" s="79">
        <v>45</v>
      </c>
      <c r="BJ9" s="18"/>
      <c r="BK9" s="110">
        <f>AG9-1</f>
        <v>34</v>
      </c>
      <c r="BL9" s="79">
        <v>40</v>
      </c>
      <c r="BM9" s="18"/>
      <c r="BN9" s="110">
        <f>X9-1</f>
        <v>24</v>
      </c>
      <c r="BO9" s="75"/>
      <c r="BP9" s="18"/>
      <c r="BQ9" s="76"/>
      <c r="BR9" s="75"/>
      <c r="BS9" s="18"/>
      <c r="BT9" s="78">
        <v>5</v>
      </c>
      <c r="BU9" s="110">
        <f>AR9+2</f>
        <v>46</v>
      </c>
      <c r="BV9" s="79">
        <v>46</v>
      </c>
      <c r="BW9" s="18"/>
      <c r="BX9" s="110">
        <f>AG9+2</f>
        <v>37</v>
      </c>
      <c r="BY9" s="79">
        <v>40</v>
      </c>
      <c r="BZ9" s="18"/>
      <c r="CA9" s="110">
        <f>X9+2</f>
        <v>27</v>
      </c>
      <c r="CB9" s="75"/>
      <c r="CC9" s="18"/>
      <c r="CD9" s="76"/>
      <c r="CE9" s="75"/>
      <c r="CF9" s="18"/>
      <c r="CG9" s="78">
        <v>5</v>
      </c>
      <c r="CH9" s="110">
        <f>AR9+1</f>
        <v>45</v>
      </c>
      <c r="CI9" s="79">
        <v>46</v>
      </c>
      <c r="CJ9" s="18"/>
      <c r="CK9" s="110">
        <f>AG9+1</f>
        <v>36</v>
      </c>
      <c r="CL9" s="79">
        <v>40</v>
      </c>
      <c r="CM9" s="18"/>
      <c r="CN9" s="110">
        <f>X9+1</f>
        <v>26</v>
      </c>
      <c r="CO9" s="75"/>
      <c r="CP9" s="18"/>
      <c r="CQ9" s="76"/>
      <c r="CR9" s="75"/>
      <c r="CS9" s="18"/>
      <c r="CT9" s="78">
        <v>5</v>
      </c>
      <c r="CU9" s="79">
        <f>(AU9+AX9+BA9+BD9)/4</f>
        <v>26</v>
      </c>
      <c r="CV9" s="79">
        <f>(BH9+BK9+BN9+BQ9)/4</f>
        <v>25.25</v>
      </c>
      <c r="CW9" s="79">
        <f>(BU9+BX9+CA9+CD9)/4</f>
        <v>27.5</v>
      </c>
      <c r="CX9" s="79">
        <f>(CH9+CK9+CN9+CQ9)/4</f>
        <v>26.75</v>
      </c>
      <c r="CY9" s="18"/>
      <c r="CZ9" s="80">
        <f>SUM(CU9:CX9)/4</f>
        <v>26.375</v>
      </c>
      <c r="DA9" s="18"/>
      <c r="DB9" s="79">
        <f>CZ9*0.5</f>
        <v>13.1875</v>
      </c>
      <c r="DC9" s="75"/>
      <c r="DD9" s="79">
        <f>DC9*0.5</f>
        <v>0</v>
      </c>
      <c r="DE9" s="81">
        <f>DD9+DB9</f>
        <v>13.1875</v>
      </c>
      <c r="DF9" s="18"/>
      <c r="DG9" s="79">
        <f>CZ9*0.3</f>
        <v>7.9125</v>
      </c>
      <c r="DH9" s="75"/>
      <c r="DI9" s="79">
        <f>DH9*0.7</f>
        <v>0</v>
      </c>
      <c r="DJ9" s="81">
        <f>DI9+DG9</f>
        <v>7.9125</v>
      </c>
      <c r="DK9" s="250"/>
    </row>
    <row r="10" ht="24" customHeight="1">
      <c r="A10" s="255">
        <v>1</v>
      </c>
      <c r="B10" s="69">
        <v>6</v>
      </c>
      <c r="C10" t="s" s="70">
        <v>512</v>
      </c>
      <c r="D10" t="s" s="71">
        <v>513</v>
      </c>
      <c r="E10" t="s" s="72">
        <v>43</v>
      </c>
      <c r="F10" t="s" s="113">
        <v>43</v>
      </c>
      <c r="G10" t="s" s="72">
        <v>43</v>
      </c>
      <c r="H10" s="82"/>
      <c r="I10" t="s" s="72">
        <v>43</v>
      </c>
      <c r="J10" t="s" s="113">
        <v>43</v>
      </c>
      <c r="K10" t="s" s="210">
        <v>163</v>
      </c>
      <c r="L10" s="256">
        <v>10</v>
      </c>
      <c r="M10" s="222">
        <v>20</v>
      </c>
      <c r="N10" s="222">
        <v>10</v>
      </c>
      <c r="O10" s="222">
        <v>10</v>
      </c>
      <c r="P10" s="222">
        <v>10</v>
      </c>
      <c r="Q10" s="82"/>
      <c r="R10" s="79">
        <v>5</v>
      </c>
      <c r="S10" s="79">
        <v>7</v>
      </c>
      <c r="T10" s="79">
        <v>8</v>
      </c>
      <c r="U10" s="79">
        <v>8</v>
      </c>
      <c r="V10" s="79">
        <v>10</v>
      </c>
      <c r="W10" s="79">
        <v>2</v>
      </c>
      <c r="X10" s="163">
        <f>SUM(L10:W10)</f>
        <v>100</v>
      </c>
      <c r="Y10" s="82"/>
      <c r="Z10" s="79">
        <v>10</v>
      </c>
      <c r="AA10" s="110">
        <v>10</v>
      </c>
      <c r="AB10" s="79">
        <v>10</v>
      </c>
      <c r="AC10" s="110">
        <v>19</v>
      </c>
      <c r="AD10" s="79">
        <v>15</v>
      </c>
      <c r="AE10" s="110">
        <v>20</v>
      </c>
      <c r="AF10" s="79">
        <v>15</v>
      </c>
      <c r="AG10" s="111">
        <f>Z10+AA10+AB10+AE10+AF10+AC10+AD10</f>
        <v>99</v>
      </c>
      <c r="AH10" s="257"/>
      <c r="AI10" s="69">
        <v>6</v>
      </c>
      <c r="AJ10" s="110">
        <v>10</v>
      </c>
      <c r="AK10" s="79">
        <v>0</v>
      </c>
      <c r="AL10" s="110">
        <v>20</v>
      </c>
      <c r="AM10" s="79">
        <v>10</v>
      </c>
      <c r="AN10" s="75"/>
      <c r="AO10" s="110">
        <v>10</v>
      </c>
      <c r="AP10" s="75"/>
      <c r="AQ10" s="110">
        <v>10</v>
      </c>
      <c r="AR10" s="79">
        <f>SUM(AJ10:AQ10)</f>
        <v>60</v>
      </c>
      <c r="AS10" s="18"/>
      <c r="AT10" s="78">
        <v>6</v>
      </c>
      <c r="AU10" s="110">
        <f>AR10+0</f>
        <v>60</v>
      </c>
      <c r="AV10" s="79">
        <v>85</v>
      </c>
      <c r="AW10" s="18"/>
      <c r="AX10" s="110">
        <f>AG10</f>
        <v>99</v>
      </c>
      <c r="AY10" s="75"/>
      <c r="AZ10" s="18"/>
      <c r="BA10" s="110">
        <f>X10</f>
        <v>100</v>
      </c>
      <c r="BB10" s="75"/>
      <c r="BC10" s="18"/>
      <c r="BD10" s="76"/>
      <c r="BE10" s="75"/>
      <c r="BF10" s="18"/>
      <c r="BG10" s="78">
        <v>6</v>
      </c>
      <c r="BH10" s="110">
        <f>AR10-1</f>
        <v>59</v>
      </c>
      <c r="BI10" s="79">
        <v>85</v>
      </c>
      <c r="BJ10" s="18"/>
      <c r="BK10" s="110">
        <f>AG10-1</f>
        <v>98</v>
      </c>
      <c r="BL10" s="75"/>
      <c r="BM10" s="18"/>
      <c r="BN10" s="110">
        <f>X10-1</f>
        <v>99</v>
      </c>
      <c r="BO10" s="75"/>
      <c r="BP10" s="18"/>
      <c r="BQ10" s="76"/>
      <c r="BR10" s="75"/>
      <c r="BS10" s="18"/>
      <c r="BT10" s="78">
        <v>6</v>
      </c>
      <c r="BU10" s="110">
        <f>AR10+2</f>
        <v>62</v>
      </c>
      <c r="BV10" s="79">
        <v>85</v>
      </c>
      <c r="BW10" s="18"/>
      <c r="BX10" s="110">
        <v>100</v>
      </c>
      <c r="BY10" s="75"/>
      <c r="BZ10" s="18"/>
      <c r="CA10" s="110">
        <v>100</v>
      </c>
      <c r="CB10" s="75"/>
      <c r="CC10" s="18"/>
      <c r="CD10" s="76"/>
      <c r="CE10" s="75"/>
      <c r="CF10" s="18"/>
      <c r="CG10" s="78">
        <v>6</v>
      </c>
      <c r="CH10" s="110">
        <f>AR10+1</f>
        <v>61</v>
      </c>
      <c r="CI10" s="79">
        <v>85</v>
      </c>
      <c r="CJ10" s="18"/>
      <c r="CK10" s="110">
        <f>AG10+1</f>
        <v>100</v>
      </c>
      <c r="CL10" s="75"/>
      <c r="CM10" s="18"/>
      <c r="CN10" s="110">
        <v>100</v>
      </c>
      <c r="CO10" s="75"/>
      <c r="CP10" s="18"/>
      <c r="CQ10" s="76"/>
      <c r="CR10" s="75"/>
      <c r="CS10" s="18"/>
      <c r="CT10" s="78">
        <v>6</v>
      </c>
      <c r="CU10" s="79">
        <f>(AU10+AX10+BA10+BD10)/4</f>
        <v>64.75</v>
      </c>
      <c r="CV10" s="79">
        <f>(BH10+BK10+BN10+BQ10)/4</f>
        <v>64</v>
      </c>
      <c r="CW10" s="79">
        <f>(BU10+BX10+CA10+CD10)/4</f>
        <v>65.5</v>
      </c>
      <c r="CX10" s="79">
        <f>(CH10+CK10+CN10+CQ10)/4</f>
        <v>65.25</v>
      </c>
      <c r="CY10" s="18"/>
      <c r="CZ10" s="80">
        <f>SUM(CU10:CX10)/4</f>
        <v>64.875</v>
      </c>
      <c r="DA10" s="18"/>
      <c r="DB10" s="79">
        <f>CZ10*0.5</f>
        <v>32.4375</v>
      </c>
      <c r="DC10" s="75"/>
      <c r="DD10" s="79">
        <f>DC10*0.5</f>
        <v>0</v>
      </c>
      <c r="DE10" s="81">
        <f>DD10+DB10</f>
        <v>32.4375</v>
      </c>
      <c r="DF10" s="18"/>
      <c r="DG10" s="79">
        <f>CZ10*0.3</f>
        <v>19.4625</v>
      </c>
      <c r="DH10" s="75"/>
      <c r="DI10" s="79">
        <f>DH10*0.7</f>
        <v>0</v>
      </c>
      <c r="DJ10" s="81">
        <f>DI10+DG10</f>
        <v>19.4625</v>
      </c>
      <c r="DK10" s="250"/>
    </row>
    <row r="11" ht="24" customHeight="1">
      <c r="A11" s="68"/>
      <c r="B11" s="69">
        <v>7</v>
      </c>
      <c r="C11" t="s" s="70">
        <v>514</v>
      </c>
      <c r="D11" t="s" s="71">
        <v>515</v>
      </c>
      <c r="E11" t="s" s="72">
        <v>43</v>
      </c>
      <c r="F11" t="s" s="113">
        <v>43</v>
      </c>
      <c r="G11" t="s" s="72">
        <v>43</v>
      </c>
      <c r="H11" s="82"/>
      <c r="I11" t="s" s="72">
        <v>43</v>
      </c>
      <c r="J11" t="s" s="113">
        <v>43</v>
      </c>
      <c r="K11" t="s" s="210">
        <v>43</v>
      </c>
      <c r="L11" s="256">
        <v>10</v>
      </c>
      <c r="M11" s="222">
        <v>19</v>
      </c>
      <c r="N11" s="222">
        <v>8</v>
      </c>
      <c r="O11" s="222">
        <v>8</v>
      </c>
      <c r="P11" s="222">
        <v>10</v>
      </c>
      <c r="Q11" s="82"/>
      <c r="R11" s="79">
        <v>5</v>
      </c>
      <c r="S11" s="79">
        <v>9</v>
      </c>
      <c r="T11" s="79">
        <v>10</v>
      </c>
      <c r="U11" s="79">
        <v>8</v>
      </c>
      <c r="V11" s="79">
        <v>8</v>
      </c>
      <c r="W11" s="79">
        <v>2</v>
      </c>
      <c r="X11" s="163">
        <f>SUM(L11:W11)</f>
        <v>97</v>
      </c>
      <c r="Y11" s="82"/>
      <c r="Z11" s="79">
        <v>10</v>
      </c>
      <c r="AA11" s="110">
        <v>9</v>
      </c>
      <c r="AB11" s="79">
        <v>10</v>
      </c>
      <c r="AC11" s="110">
        <v>19</v>
      </c>
      <c r="AD11" s="79">
        <v>15</v>
      </c>
      <c r="AE11" s="110">
        <v>0</v>
      </c>
      <c r="AF11" s="79">
        <v>15</v>
      </c>
      <c r="AG11" s="111">
        <f>Z11+AA11+AB11+AE11+AF11+AC11+AD11</f>
        <v>78</v>
      </c>
      <c r="AH11" s="257"/>
      <c r="AI11" s="69">
        <v>7</v>
      </c>
      <c r="AJ11" s="110">
        <v>10</v>
      </c>
      <c r="AK11" s="79">
        <v>18</v>
      </c>
      <c r="AL11" s="110">
        <v>20</v>
      </c>
      <c r="AM11" s="79">
        <v>10</v>
      </c>
      <c r="AN11" s="79">
        <v>13</v>
      </c>
      <c r="AO11" s="110">
        <v>8</v>
      </c>
      <c r="AP11" s="75"/>
      <c r="AQ11" s="110">
        <v>10</v>
      </c>
      <c r="AR11" s="79">
        <f>SUM(AJ11:AQ11)</f>
        <v>89</v>
      </c>
      <c r="AS11" s="18"/>
      <c r="AT11" s="78">
        <v>7</v>
      </c>
      <c r="AU11" s="110">
        <f>AR11+0</f>
        <v>89</v>
      </c>
      <c r="AV11" s="75"/>
      <c r="AW11" s="18"/>
      <c r="AX11" s="110">
        <f>AG11</f>
        <v>78</v>
      </c>
      <c r="AY11" s="75"/>
      <c r="AZ11" s="18"/>
      <c r="BA11" s="110">
        <f>X11</f>
        <v>97</v>
      </c>
      <c r="BB11" s="75"/>
      <c r="BC11" s="18"/>
      <c r="BD11" s="76"/>
      <c r="BE11" s="75"/>
      <c r="BF11" s="18"/>
      <c r="BG11" s="78">
        <v>7</v>
      </c>
      <c r="BH11" s="110">
        <f>AR11-1</f>
        <v>88</v>
      </c>
      <c r="BI11" s="75"/>
      <c r="BJ11" s="18"/>
      <c r="BK11" s="110">
        <f>AG11-1</f>
        <v>77</v>
      </c>
      <c r="BL11" s="75"/>
      <c r="BM11" s="18"/>
      <c r="BN11" s="110">
        <f>X11-1</f>
        <v>96</v>
      </c>
      <c r="BO11" s="75"/>
      <c r="BP11" s="18"/>
      <c r="BQ11" s="76"/>
      <c r="BR11" s="75"/>
      <c r="BS11" s="18"/>
      <c r="BT11" s="78">
        <v>7</v>
      </c>
      <c r="BU11" s="110">
        <f>AR11+2</f>
        <v>91</v>
      </c>
      <c r="BV11" s="75"/>
      <c r="BW11" s="18"/>
      <c r="BX11" s="110">
        <f>AG11+2</f>
        <v>80</v>
      </c>
      <c r="BY11" s="75"/>
      <c r="BZ11" s="18"/>
      <c r="CA11" s="110">
        <f>X11+2</f>
        <v>99</v>
      </c>
      <c r="CB11" s="75"/>
      <c r="CC11" s="18"/>
      <c r="CD11" s="76"/>
      <c r="CE11" s="75"/>
      <c r="CF11" s="18"/>
      <c r="CG11" s="78">
        <v>7</v>
      </c>
      <c r="CH11" s="110">
        <f>AR11+1</f>
        <v>90</v>
      </c>
      <c r="CI11" s="75"/>
      <c r="CJ11" s="18"/>
      <c r="CK11" s="110">
        <f>AG11+1</f>
        <v>79</v>
      </c>
      <c r="CL11" s="75"/>
      <c r="CM11" s="18"/>
      <c r="CN11" s="110">
        <f>X11+1</f>
        <v>98</v>
      </c>
      <c r="CO11" s="75"/>
      <c r="CP11" s="18"/>
      <c r="CQ11" s="76"/>
      <c r="CR11" s="75"/>
      <c r="CS11" s="18"/>
      <c r="CT11" s="78">
        <v>7</v>
      </c>
      <c r="CU11" s="79">
        <f>(AU11+AX11+BA11+BD11)/4</f>
        <v>66</v>
      </c>
      <c r="CV11" s="79">
        <f>(BH11+BK11+BN11+BQ11)/4</f>
        <v>65.25</v>
      </c>
      <c r="CW11" s="79">
        <f>(BU11+BX11+CA11+CD11)/4</f>
        <v>67.5</v>
      </c>
      <c r="CX11" s="79">
        <f>(CH11+CK11+CN11+CQ11)/4</f>
        <v>66.75</v>
      </c>
      <c r="CY11" s="18"/>
      <c r="CZ11" s="80">
        <f>SUM(CU11:CX11)/4</f>
        <v>66.375</v>
      </c>
      <c r="DA11" s="18"/>
      <c r="DB11" s="79">
        <f>CZ11*0.5</f>
        <v>33.1875</v>
      </c>
      <c r="DC11" s="75"/>
      <c r="DD11" s="79">
        <f>DC11*0.5</f>
        <v>0</v>
      </c>
      <c r="DE11" s="81">
        <f>DD11+DB11</f>
        <v>33.1875</v>
      </c>
      <c r="DF11" s="18"/>
      <c r="DG11" s="79">
        <f>CZ11*0.3</f>
        <v>19.9125</v>
      </c>
      <c r="DH11" s="75"/>
      <c r="DI11" s="79">
        <f>DH11*0.7</f>
        <v>0</v>
      </c>
      <c r="DJ11" s="81">
        <f>DI11+DG11</f>
        <v>19.9125</v>
      </c>
      <c r="DK11" s="250"/>
    </row>
    <row r="12" ht="24" customHeight="1">
      <c r="A12" s="255">
        <v>1</v>
      </c>
      <c r="B12" s="69">
        <v>8</v>
      </c>
      <c r="C12" t="s" s="70">
        <v>516</v>
      </c>
      <c r="D12" t="s" s="71">
        <v>517</v>
      </c>
      <c r="E12" t="s" s="72">
        <v>43</v>
      </c>
      <c r="F12" t="s" s="113">
        <v>43</v>
      </c>
      <c r="G12" t="s" s="72">
        <v>43</v>
      </c>
      <c r="H12" s="82"/>
      <c r="I12" t="s" s="72">
        <v>161</v>
      </c>
      <c r="J12" t="s" s="113">
        <v>161</v>
      </c>
      <c r="K12" t="s" s="210">
        <v>161</v>
      </c>
      <c r="L12" s="256">
        <v>10</v>
      </c>
      <c r="M12" s="222">
        <v>0</v>
      </c>
      <c r="N12" s="222">
        <v>0</v>
      </c>
      <c r="O12" s="222">
        <v>7</v>
      </c>
      <c r="P12" s="222">
        <v>5</v>
      </c>
      <c r="Q12" s="82"/>
      <c r="R12" s="79">
        <v>0</v>
      </c>
      <c r="S12" s="79">
        <v>0</v>
      </c>
      <c r="T12" s="79">
        <v>0</v>
      </c>
      <c r="U12" s="79">
        <v>0</v>
      </c>
      <c r="V12" s="79">
        <v>0</v>
      </c>
      <c r="W12" s="79">
        <v>2</v>
      </c>
      <c r="X12" s="163">
        <f>SUM(L12:W12)</f>
        <v>24</v>
      </c>
      <c r="Y12" t="s" s="113">
        <v>511</v>
      </c>
      <c r="Z12" s="79">
        <v>8</v>
      </c>
      <c r="AA12" s="110">
        <v>7</v>
      </c>
      <c r="AB12" s="79">
        <v>5</v>
      </c>
      <c r="AC12" s="110">
        <v>0</v>
      </c>
      <c r="AD12" s="79">
        <v>0</v>
      </c>
      <c r="AE12" s="110">
        <v>0</v>
      </c>
      <c r="AF12" s="79">
        <v>15</v>
      </c>
      <c r="AG12" s="111">
        <f>Z12+AA12+AB12+AE12+AF12+AC12+AD12</f>
        <v>35</v>
      </c>
      <c r="AH12" s="257"/>
      <c r="AI12" s="69">
        <v>8</v>
      </c>
      <c r="AJ12" s="137">
        <v>10</v>
      </c>
      <c r="AK12" s="137">
        <v>0</v>
      </c>
      <c r="AL12" s="137">
        <v>20</v>
      </c>
      <c r="AM12" s="136"/>
      <c r="AN12" s="136"/>
      <c r="AO12" s="137">
        <v>5</v>
      </c>
      <c r="AP12" s="136"/>
      <c r="AQ12" s="110">
        <v>10</v>
      </c>
      <c r="AR12" s="137">
        <f>SUM(AJ12:AQ12)</f>
        <v>45</v>
      </c>
      <c r="AS12" s="18"/>
      <c r="AT12" s="78">
        <v>8</v>
      </c>
      <c r="AU12" s="110">
        <f>AR12+0</f>
        <v>45</v>
      </c>
      <c r="AV12" s="79">
        <v>46</v>
      </c>
      <c r="AW12" s="18"/>
      <c r="AX12" s="110">
        <f>AG12</f>
        <v>35</v>
      </c>
      <c r="AY12" s="79">
        <v>40</v>
      </c>
      <c r="AZ12" s="18"/>
      <c r="BA12" s="110">
        <f>X12</f>
        <v>24</v>
      </c>
      <c r="BB12" s="75"/>
      <c r="BC12" s="18"/>
      <c r="BD12" s="76"/>
      <c r="BE12" s="75"/>
      <c r="BF12" s="18"/>
      <c r="BG12" s="78">
        <v>8</v>
      </c>
      <c r="BH12" s="110">
        <f>AR12-1</f>
        <v>44</v>
      </c>
      <c r="BI12" s="79">
        <v>46</v>
      </c>
      <c r="BJ12" s="18"/>
      <c r="BK12" s="110">
        <f>AG12-1</f>
        <v>34</v>
      </c>
      <c r="BL12" s="79">
        <v>40</v>
      </c>
      <c r="BM12" s="18"/>
      <c r="BN12" s="110">
        <f>X12-1</f>
        <v>23</v>
      </c>
      <c r="BO12" s="75"/>
      <c r="BP12" s="18"/>
      <c r="BQ12" s="76"/>
      <c r="BR12" s="75"/>
      <c r="BS12" s="18"/>
      <c r="BT12" s="78">
        <v>8</v>
      </c>
      <c r="BU12" s="110">
        <f>AR12+2</f>
        <v>47</v>
      </c>
      <c r="BV12" s="79">
        <v>46</v>
      </c>
      <c r="BW12" s="18"/>
      <c r="BX12" s="110">
        <f>AG12+2</f>
        <v>37</v>
      </c>
      <c r="BY12" s="79">
        <v>40</v>
      </c>
      <c r="BZ12" s="18"/>
      <c r="CA12" s="110">
        <f>X12+2</f>
        <v>26</v>
      </c>
      <c r="CB12" s="75"/>
      <c r="CC12" s="18"/>
      <c r="CD12" s="76"/>
      <c r="CE12" s="75"/>
      <c r="CF12" s="18"/>
      <c r="CG12" s="78">
        <v>8</v>
      </c>
      <c r="CH12" s="110">
        <f>AR12+1</f>
        <v>46</v>
      </c>
      <c r="CI12" s="79">
        <v>46</v>
      </c>
      <c r="CJ12" s="18"/>
      <c r="CK12" s="110">
        <f>AG12+1</f>
        <v>36</v>
      </c>
      <c r="CL12" s="79">
        <v>40</v>
      </c>
      <c r="CM12" s="18"/>
      <c r="CN12" s="110">
        <f>X12+1</f>
        <v>25</v>
      </c>
      <c r="CO12" s="75"/>
      <c r="CP12" s="18"/>
      <c r="CQ12" s="76"/>
      <c r="CR12" s="75"/>
      <c r="CS12" s="18"/>
      <c r="CT12" s="78">
        <v>8</v>
      </c>
      <c r="CU12" s="79">
        <f>(AU12+AX12+BA12+BD12)/4</f>
        <v>26</v>
      </c>
      <c r="CV12" s="79">
        <f>(BH12+BK12+BN12+BQ12)/4</f>
        <v>25.25</v>
      </c>
      <c r="CW12" s="79">
        <f>(BU12+BX12+CA12+CD12)/4</f>
        <v>27.5</v>
      </c>
      <c r="CX12" s="79">
        <f>(CH12+CK12+CN12+CQ12)/4</f>
        <v>26.75</v>
      </c>
      <c r="CY12" s="18"/>
      <c r="CZ12" s="80">
        <f>SUM(CU12:CX12)/4</f>
        <v>26.375</v>
      </c>
      <c r="DA12" s="18"/>
      <c r="DB12" s="79">
        <f>CZ12*0.5</f>
        <v>13.1875</v>
      </c>
      <c r="DC12" s="75"/>
      <c r="DD12" s="79">
        <f>DC12*0.5</f>
        <v>0</v>
      </c>
      <c r="DE12" s="81">
        <f>DD12+DB12</f>
        <v>13.1875</v>
      </c>
      <c r="DF12" s="18"/>
      <c r="DG12" s="79">
        <f>CZ12*0.3</f>
        <v>7.9125</v>
      </c>
      <c r="DH12" s="75"/>
      <c r="DI12" s="79">
        <f>DH12*0.7</f>
        <v>0</v>
      </c>
      <c r="DJ12" s="81">
        <f>DI12+DG12</f>
        <v>7.9125</v>
      </c>
      <c r="DK12" s="250"/>
    </row>
    <row r="13" ht="24" customHeight="1">
      <c r="A13" s="255">
        <v>1</v>
      </c>
      <c r="B13" s="69">
        <v>9</v>
      </c>
      <c r="C13" t="s" s="70">
        <v>518</v>
      </c>
      <c r="D13" t="s" s="71">
        <v>519</v>
      </c>
      <c r="E13" t="s" s="72">
        <v>43</v>
      </c>
      <c r="F13" t="s" s="113">
        <v>43</v>
      </c>
      <c r="G13" t="s" s="72">
        <v>43</v>
      </c>
      <c r="H13" s="82"/>
      <c r="I13" t="s" s="72">
        <v>43</v>
      </c>
      <c r="J13" t="s" s="113">
        <v>43</v>
      </c>
      <c r="K13" t="s" s="210">
        <v>43</v>
      </c>
      <c r="L13" s="256">
        <v>10</v>
      </c>
      <c r="M13" s="222">
        <v>20</v>
      </c>
      <c r="N13" s="222">
        <v>10</v>
      </c>
      <c r="O13" s="222">
        <v>10</v>
      </c>
      <c r="P13" s="222">
        <v>10</v>
      </c>
      <c r="Q13" s="82"/>
      <c r="R13" s="79">
        <v>5</v>
      </c>
      <c r="S13" s="79">
        <v>10</v>
      </c>
      <c r="T13" s="79">
        <v>9</v>
      </c>
      <c r="U13" s="79">
        <v>10</v>
      </c>
      <c r="V13" s="79">
        <v>10</v>
      </c>
      <c r="W13" s="79">
        <v>2</v>
      </c>
      <c r="X13" s="163">
        <f>SUM(L13:W13)</f>
        <v>106</v>
      </c>
      <c r="Y13" s="82"/>
      <c r="Z13" s="79">
        <v>10</v>
      </c>
      <c r="AA13" s="110">
        <v>10</v>
      </c>
      <c r="AB13" s="79">
        <v>9</v>
      </c>
      <c r="AC13" s="110">
        <v>20</v>
      </c>
      <c r="AD13" s="79">
        <v>15</v>
      </c>
      <c r="AE13" s="110">
        <v>20</v>
      </c>
      <c r="AF13" s="79">
        <v>15</v>
      </c>
      <c r="AG13" s="111">
        <f>Z13+AA13+AB13+AE13+AF13+AC13+AD13</f>
        <v>99</v>
      </c>
      <c r="AH13" s="257"/>
      <c r="AI13" s="69">
        <v>9</v>
      </c>
      <c r="AJ13" s="110">
        <v>10</v>
      </c>
      <c r="AK13" s="79">
        <v>20</v>
      </c>
      <c r="AL13" s="110">
        <v>20</v>
      </c>
      <c r="AM13" s="79">
        <v>10</v>
      </c>
      <c r="AN13" s="79">
        <v>14</v>
      </c>
      <c r="AO13" s="110">
        <v>10</v>
      </c>
      <c r="AP13" s="79">
        <v>5</v>
      </c>
      <c r="AQ13" s="110">
        <v>10</v>
      </c>
      <c r="AR13" s="79">
        <f>SUM(AJ13:AQ13)</f>
        <v>99</v>
      </c>
      <c r="AS13" s="18"/>
      <c r="AT13" s="78">
        <v>9</v>
      </c>
      <c r="AU13" s="110">
        <f>AR13+0</f>
        <v>99</v>
      </c>
      <c r="AV13" s="75"/>
      <c r="AW13" s="18"/>
      <c r="AX13" s="110">
        <f>AG13</f>
        <v>99</v>
      </c>
      <c r="AY13" s="75"/>
      <c r="AZ13" s="18"/>
      <c r="BA13" s="110">
        <v>100</v>
      </c>
      <c r="BB13" s="75"/>
      <c r="BC13" s="18"/>
      <c r="BD13" s="76"/>
      <c r="BE13" s="75"/>
      <c r="BF13" s="18"/>
      <c r="BG13" s="78">
        <v>9</v>
      </c>
      <c r="BH13" s="110">
        <f>AR13-1</f>
        <v>98</v>
      </c>
      <c r="BI13" s="75"/>
      <c r="BJ13" s="18"/>
      <c r="BK13" s="110">
        <f>AG13-1</f>
        <v>98</v>
      </c>
      <c r="BL13" s="75"/>
      <c r="BM13" s="18"/>
      <c r="BN13" s="110">
        <v>100</v>
      </c>
      <c r="BO13" s="75"/>
      <c r="BP13" s="18"/>
      <c r="BQ13" s="76"/>
      <c r="BR13" s="75"/>
      <c r="BS13" s="18"/>
      <c r="BT13" s="78">
        <v>9</v>
      </c>
      <c r="BU13" s="110">
        <f>AR13+2</f>
        <v>101</v>
      </c>
      <c r="BV13" s="75"/>
      <c r="BW13" s="18"/>
      <c r="BX13" s="110">
        <f>AG13+2</f>
        <v>101</v>
      </c>
      <c r="BY13" s="75"/>
      <c r="BZ13" s="18"/>
      <c r="CA13" s="110">
        <v>100</v>
      </c>
      <c r="CB13" s="75"/>
      <c r="CC13" s="18"/>
      <c r="CD13" s="76"/>
      <c r="CE13" s="75"/>
      <c r="CF13" s="18"/>
      <c r="CG13" s="78">
        <v>9</v>
      </c>
      <c r="CH13" s="110">
        <f>AR13+1</f>
        <v>100</v>
      </c>
      <c r="CI13" s="75"/>
      <c r="CJ13" s="18"/>
      <c r="CK13" s="110">
        <f>AG13+1</f>
        <v>100</v>
      </c>
      <c r="CL13" s="75"/>
      <c r="CM13" s="18"/>
      <c r="CN13" s="110">
        <v>100</v>
      </c>
      <c r="CO13" s="75"/>
      <c r="CP13" s="18"/>
      <c r="CQ13" s="76"/>
      <c r="CR13" s="75"/>
      <c r="CS13" s="18"/>
      <c r="CT13" s="78">
        <v>9</v>
      </c>
      <c r="CU13" s="79">
        <f>(AU13+AX13+BA13+BD13)/4</f>
        <v>74.5</v>
      </c>
      <c r="CV13" s="79">
        <f>(BH13+BK13+BN13+BQ13)/4</f>
        <v>74</v>
      </c>
      <c r="CW13" s="79">
        <f>(BU13+BX13+CA13+CD13)/4</f>
        <v>75.5</v>
      </c>
      <c r="CX13" s="79">
        <f>(CH13+CK13+CN13+CQ13)/4</f>
        <v>75</v>
      </c>
      <c r="CY13" s="18"/>
      <c r="CZ13" s="80">
        <f>SUM(CU13:CX13)/4</f>
        <v>74.75</v>
      </c>
      <c r="DA13" s="18"/>
      <c r="DB13" s="79">
        <f>CZ13*0.5</f>
        <v>37.375</v>
      </c>
      <c r="DC13" s="75"/>
      <c r="DD13" s="79">
        <f>DC13*0.5</f>
        <v>0</v>
      </c>
      <c r="DE13" s="81">
        <f>DD13+DB13</f>
        <v>37.375</v>
      </c>
      <c r="DF13" s="18"/>
      <c r="DG13" s="79">
        <f>CZ13*0.3</f>
        <v>22.425</v>
      </c>
      <c r="DH13" s="75"/>
      <c r="DI13" s="79">
        <f>DH13*0.7</f>
        <v>0</v>
      </c>
      <c r="DJ13" s="81">
        <f>DI13+DG13</f>
        <v>22.425</v>
      </c>
      <c r="DK13" s="250"/>
    </row>
    <row r="14" ht="24" customHeight="1">
      <c r="A14" s="255">
        <v>1</v>
      </c>
      <c r="B14" s="69">
        <v>10</v>
      </c>
      <c r="C14" t="s" s="70">
        <v>520</v>
      </c>
      <c r="D14" t="s" s="71">
        <v>521</v>
      </c>
      <c r="E14" t="s" s="72">
        <v>43</v>
      </c>
      <c r="F14" t="s" s="113">
        <v>43</v>
      </c>
      <c r="G14" t="s" s="72">
        <v>43</v>
      </c>
      <c r="H14" s="82"/>
      <c r="I14" t="s" s="72">
        <v>43</v>
      </c>
      <c r="J14" t="s" s="113">
        <v>43</v>
      </c>
      <c r="K14" t="s" s="210">
        <v>43</v>
      </c>
      <c r="L14" s="256">
        <v>10</v>
      </c>
      <c r="M14" s="222">
        <v>18</v>
      </c>
      <c r="N14" s="222">
        <v>10</v>
      </c>
      <c r="O14" s="222">
        <v>9</v>
      </c>
      <c r="P14" s="222">
        <v>9</v>
      </c>
      <c r="Q14" s="82"/>
      <c r="R14" s="79">
        <v>4</v>
      </c>
      <c r="S14" s="79">
        <v>8</v>
      </c>
      <c r="T14" s="79">
        <v>9</v>
      </c>
      <c r="U14" s="79">
        <v>9</v>
      </c>
      <c r="V14" s="79">
        <v>8</v>
      </c>
      <c r="W14" s="79">
        <v>2</v>
      </c>
      <c r="X14" s="163">
        <f>SUM(L14:W14)</f>
        <v>96</v>
      </c>
      <c r="Y14" s="82"/>
      <c r="Z14" s="79">
        <v>10</v>
      </c>
      <c r="AA14" s="110">
        <v>9</v>
      </c>
      <c r="AB14" s="79">
        <v>10</v>
      </c>
      <c r="AC14" s="110">
        <v>19</v>
      </c>
      <c r="AD14" s="79">
        <v>10</v>
      </c>
      <c r="AE14" s="110">
        <v>20</v>
      </c>
      <c r="AF14" s="79">
        <v>15</v>
      </c>
      <c r="AG14" s="111">
        <f>Z14+AA14+AB14+AE14+AF14+AC14+AD14</f>
        <v>93</v>
      </c>
      <c r="AH14" s="257"/>
      <c r="AI14" s="69">
        <v>10</v>
      </c>
      <c r="AJ14" s="110">
        <v>10</v>
      </c>
      <c r="AK14" s="79">
        <v>19</v>
      </c>
      <c r="AL14" s="110">
        <v>20</v>
      </c>
      <c r="AM14" s="79">
        <v>10</v>
      </c>
      <c r="AN14" s="79">
        <v>13</v>
      </c>
      <c r="AO14" s="110">
        <v>10</v>
      </c>
      <c r="AP14" s="79">
        <v>2</v>
      </c>
      <c r="AQ14" s="110">
        <v>10</v>
      </c>
      <c r="AR14" s="79">
        <f>SUM(AJ14:AQ14)</f>
        <v>94</v>
      </c>
      <c r="AS14" s="18"/>
      <c r="AT14" s="78">
        <v>10</v>
      </c>
      <c r="AU14" s="110">
        <f>AR14+0</f>
        <v>94</v>
      </c>
      <c r="AV14" s="75"/>
      <c r="AW14" s="18"/>
      <c r="AX14" s="110">
        <f>AG14</f>
        <v>93</v>
      </c>
      <c r="AY14" s="75"/>
      <c r="AZ14" s="18"/>
      <c r="BA14" s="110">
        <f>X14</f>
        <v>96</v>
      </c>
      <c r="BB14" s="75"/>
      <c r="BC14" s="18"/>
      <c r="BD14" s="76"/>
      <c r="BE14" s="75"/>
      <c r="BF14" s="18"/>
      <c r="BG14" s="78">
        <v>10</v>
      </c>
      <c r="BH14" s="110">
        <f>AR14-1</f>
        <v>93</v>
      </c>
      <c r="BI14" s="75"/>
      <c r="BJ14" s="18"/>
      <c r="BK14" s="110">
        <f>AG14-1</f>
        <v>92</v>
      </c>
      <c r="BL14" s="75"/>
      <c r="BM14" s="18"/>
      <c r="BN14" s="110">
        <f>X14-1</f>
        <v>95</v>
      </c>
      <c r="BO14" s="75"/>
      <c r="BP14" s="18"/>
      <c r="BQ14" s="76"/>
      <c r="BR14" s="75"/>
      <c r="BS14" s="18"/>
      <c r="BT14" s="78">
        <v>10</v>
      </c>
      <c r="BU14" s="110">
        <f>AR14+2</f>
        <v>96</v>
      </c>
      <c r="BV14" s="75"/>
      <c r="BW14" s="18"/>
      <c r="BX14" s="110">
        <f>AG14+2</f>
        <v>95</v>
      </c>
      <c r="BY14" s="75"/>
      <c r="BZ14" s="18"/>
      <c r="CA14" s="110">
        <f>X14+2</f>
        <v>98</v>
      </c>
      <c r="CB14" s="75"/>
      <c r="CC14" s="18"/>
      <c r="CD14" s="76"/>
      <c r="CE14" s="75"/>
      <c r="CF14" s="18"/>
      <c r="CG14" s="78">
        <v>10</v>
      </c>
      <c r="CH14" s="110">
        <f>AR14+1</f>
        <v>95</v>
      </c>
      <c r="CI14" s="75"/>
      <c r="CJ14" s="18"/>
      <c r="CK14" s="110">
        <f>AG14+1</f>
        <v>94</v>
      </c>
      <c r="CL14" s="75"/>
      <c r="CM14" s="18"/>
      <c r="CN14" s="110">
        <f>X14+1</f>
        <v>97</v>
      </c>
      <c r="CO14" s="75"/>
      <c r="CP14" s="18"/>
      <c r="CQ14" s="76"/>
      <c r="CR14" s="75"/>
      <c r="CS14" s="18"/>
      <c r="CT14" s="78">
        <v>10</v>
      </c>
      <c r="CU14" s="79">
        <f>(AU14+AX14+BA14+BD14)/4</f>
        <v>70.75</v>
      </c>
      <c r="CV14" s="79">
        <f>(BH14+BK14+BN14+BQ14)/4</f>
        <v>70</v>
      </c>
      <c r="CW14" s="79">
        <f>(BU14+BX14+CA14+CD14)/4</f>
        <v>72.25</v>
      </c>
      <c r="CX14" s="79">
        <f>(CH14+CK14+CN14+CQ14)/4</f>
        <v>71.5</v>
      </c>
      <c r="CY14" s="18"/>
      <c r="CZ14" s="80">
        <f>SUM(CU14:CX14)/4</f>
        <v>71.125</v>
      </c>
      <c r="DA14" s="18"/>
      <c r="DB14" s="79">
        <f>CZ14*0.5</f>
        <v>35.5625</v>
      </c>
      <c r="DC14" s="75"/>
      <c r="DD14" s="79">
        <f>DC14*0.5</f>
        <v>0</v>
      </c>
      <c r="DE14" s="81">
        <f>DD14+DB14</f>
        <v>35.5625</v>
      </c>
      <c r="DF14" s="18"/>
      <c r="DG14" s="79">
        <f>CZ14*0.3</f>
        <v>21.3375</v>
      </c>
      <c r="DH14" s="75"/>
      <c r="DI14" s="79">
        <f>DH14*0.7</f>
        <v>0</v>
      </c>
      <c r="DJ14" s="81">
        <f>DI14+DG14</f>
        <v>21.3375</v>
      </c>
      <c r="DK14" s="250"/>
    </row>
    <row r="15" ht="24" customHeight="1">
      <c r="A15" s="255">
        <v>1</v>
      </c>
      <c r="B15" s="69">
        <v>11</v>
      </c>
      <c r="C15" t="s" s="70">
        <v>522</v>
      </c>
      <c r="D15" t="s" s="71">
        <v>523</v>
      </c>
      <c r="E15" t="s" s="72">
        <v>43</v>
      </c>
      <c r="F15" t="s" s="113">
        <v>43</v>
      </c>
      <c r="G15" t="s" s="72">
        <v>43</v>
      </c>
      <c r="H15" s="82"/>
      <c r="I15" t="s" s="72">
        <v>43</v>
      </c>
      <c r="J15" t="s" s="113">
        <v>43</v>
      </c>
      <c r="K15" t="s" s="210">
        <v>43</v>
      </c>
      <c r="L15" s="256">
        <v>10</v>
      </c>
      <c r="M15" s="222">
        <v>18</v>
      </c>
      <c r="N15" s="222">
        <v>7</v>
      </c>
      <c r="O15" s="222">
        <v>10</v>
      </c>
      <c r="P15" s="222">
        <v>10</v>
      </c>
      <c r="Q15" s="82"/>
      <c r="R15" s="79">
        <v>0</v>
      </c>
      <c r="S15" s="79">
        <v>10</v>
      </c>
      <c r="T15" s="79">
        <v>9</v>
      </c>
      <c r="U15" s="79">
        <v>9</v>
      </c>
      <c r="V15" s="79">
        <v>9</v>
      </c>
      <c r="W15" s="79">
        <v>2</v>
      </c>
      <c r="X15" s="163">
        <f>SUM(L15:W15)</f>
        <v>94</v>
      </c>
      <c r="Y15" s="82"/>
      <c r="Z15" s="79">
        <v>10</v>
      </c>
      <c r="AA15" s="110">
        <v>10</v>
      </c>
      <c r="AB15" s="79">
        <v>10</v>
      </c>
      <c r="AC15" s="110">
        <v>19</v>
      </c>
      <c r="AD15" s="79">
        <v>10</v>
      </c>
      <c r="AE15" s="110">
        <v>20</v>
      </c>
      <c r="AF15" s="79">
        <v>15</v>
      </c>
      <c r="AG15" s="111">
        <f>Z15+AA15+AB15+AE15+AF15+AC15+AD15</f>
        <v>94</v>
      </c>
      <c r="AH15" s="257"/>
      <c r="AI15" s="69">
        <v>11</v>
      </c>
      <c r="AJ15" s="110">
        <v>10</v>
      </c>
      <c r="AK15" s="79">
        <v>18</v>
      </c>
      <c r="AL15" s="110">
        <v>20</v>
      </c>
      <c r="AM15" s="79">
        <v>0</v>
      </c>
      <c r="AN15" s="79">
        <v>14</v>
      </c>
      <c r="AO15" s="110">
        <v>10</v>
      </c>
      <c r="AP15" s="79">
        <v>5</v>
      </c>
      <c r="AQ15" s="110">
        <v>10</v>
      </c>
      <c r="AR15" s="79">
        <f>SUM(AJ15:AQ15)</f>
        <v>87</v>
      </c>
      <c r="AS15" s="18"/>
      <c r="AT15" s="78">
        <v>11</v>
      </c>
      <c r="AU15" s="110">
        <f>AR15+0</f>
        <v>87</v>
      </c>
      <c r="AV15" s="75"/>
      <c r="AW15" s="18"/>
      <c r="AX15" s="110">
        <f>AG15</f>
        <v>94</v>
      </c>
      <c r="AY15" s="75"/>
      <c r="AZ15" s="18"/>
      <c r="BA15" s="110">
        <f>X15</f>
        <v>94</v>
      </c>
      <c r="BB15" s="75"/>
      <c r="BC15" s="18"/>
      <c r="BD15" s="76"/>
      <c r="BE15" s="75"/>
      <c r="BF15" s="18"/>
      <c r="BG15" s="78">
        <v>11</v>
      </c>
      <c r="BH15" s="110">
        <f>AR15-1</f>
        <v>86</v>
      </c>
      <c r="BI15" s="75"/>
      <c r="BJ15" s="18"/>
      <c r="BK15" s="110">
        <f>AG15-1</f>
        <v>93</v>
      </c>
      <c r="BL15" s="75"/>
      <c r="BM15" s="18"/>
      <c r="BN15" s="110">
        <f>X15-1</f>
        <v>93</v>
      </c>
      <c r="BO15" s="75"/>
      <c r="BP15" s="18"/>
      <c r="BQ15" s="76"/>
      <c r="BR15" s="75"/>
      <c r="BS15" s="18"/>
      <c r="BT15" s="78">
        <v>11</v>
      </c>
      <c r="BU15" s="110">
        <f>AR15+2</f>
        <v>89</v>
      </c>
      <c r="BV15" s="75"/>
      <c r="BW15" s="18"/>
      <c r="BX15" s="110">
        <f>AG15+2</f>
        <v>96</v>
      </c>
      <c r="BY15" s="75"/>
      <c r="BZ15" s="18"/>
      <c r="CA15" s="110">
        <f>X15+2</f>
        <v>96</v>
      </c>
      <c r="CB15" s="75"/>
      <c r="CC15" s="18"/>
      <c r="CD15" s="76"/>
      <c r="CE15" s="75"/>
      <c r="CF15" s="18"/>
      <c r="CG15" s="78">
        <v>11</v>
      </c>
      <c r="CH15" s="110">
        <f>AR15+1</f>
        <v>88</v>
      </c>
      <c r="CI15" s="75"/>
      <c r="CJ15" s="18"/>
      <c r="CK15" s="110">
        <f>AG15+1</f>
        <v>95</v>
      </c>
      <c r="CL15" s="75"/>
      <c r="CM15" s="18"/>
      <c r="CN15" s="110">
        <f>X15+1</f>
        <v>95</v>
      </c>
      <c r="CO15" s="75"/>
      <c r="CP15" s="18"/>
      <c r="CQ15" s="76"/>
      <c r="CR15" s="75"/>
      <c r="CS15" s="18"/>
      <c r="CT15" s="78">
        <v>11</v>
      </c>
      <c r="CU15" s="79">
        <f>(AU15+AX15+BA15+BD15)/4</f>
        <v>68.75</v>
      </c>
      <c r="CV15" s="79">
        <f>(BH15+BK15+BN15+BQ15)/4</f>
        <v>68</v>
      </c>
      <c r="CW15" s="79">
        <f>(BU15+BX15+CA15+CD15)/4</f>
        <v>70.25</v>
      </c>
      <c r="CX15" s="79">
        <f>(CH15+CK15+CN15+CQ15)/4</f>
        <v>69.5</v>
      </c>
      <c r="CY15" s="18"/>
      <c r="CZ15" s="80">
        <f>SUM(CU15:CX15)/4</f>
        <v>69.125</v>
      </c>
      <c r="DA15" s="18"/>
      <c r="DB15" s="79">
        <f>CZ15*0.5</f>
        <v>34.5625</v>
      </c>
      <c r="DC15" s="75"/>
      <c r="DD15" s="79">
        <f>DC15*0.5</f>
        <v>0</v>
      </c>
      <c r="DE15" s="81">
        <f>DD15+DB15</f>
        <v>34.5625</v>
      </c>
      <c r="DF15" s="18"/>
      <c r="DG15" s="79">
        <f>CZ15*0.3</f>
        <v>20.7375</v>
      </c>
      <c r="DH15" s="75"/>
      <c r="DI15" s="79">
        <f>DH15*0.7</f>
        <v>0</v>
      </c>
      <c r="DJ15" s="81">
        <f>DI15+DG15</f>
        <v>20.7375</v>
      </c>
      <c r="DK15" s="250"/>
    </row>
    <row r="16" ht="24" customHeight="1">
      <c r="A16" s="255">
        <v>1</v>
      </c>
      <c r="B16" s="69">
        <v>12</v>
      </c>
      <c r="C16" t="s" s="70">
        <v>524</v>
      </c>
      <c r="D16" t="s" s="71">
        <v>525</v>
      </c>
      <c r="E16" t="s" s="72">
        <v>43</v>
      </c>
      <c r="F16" t="s" s="113">
        <v>43</v>
      </c>
      <c r="G16" t="s" s="72">
        <v>43</v>
      </c>
      <c r="H16" s="82"/>
      <c r="I16" t="s" s="72">
        <v>43</v>
      </c>
      <c r="J16" t="s" s="113">
        <v>43</v>
      </c>
      <c r="K16" t="s" s="210">
        <v>43</v>
      </c>
      <c r="L16" s="256">
        <v>10</v>
      </c>
      <c r="M16" s="220"/>
      <c r="N16" s="220"/>
      <c r="O16" s="222">
        <v>8</v>
      </c>
      <c r="P16" s="222">
        <v>9</v>
      </c>
      <c r="Q16" s="82"/>
      <c r="R16" s="79">
        <v>0</v>
      </c>
      <c r="S16" s="79">
        <v>8</v>
      </c>
      <c r="T16" s="79">
        <v>9</v>
      </c>
      <c r="U16" s="79">
        <v>9</v>
      </c>
      <c r="V16" s="79">
        <v>10</v>
      </c>
      <c r="W16" s="79">
        <v>2</v>
      </c>
      <c r="X16" s="163">
        <f>SUM(L16:W16)</f>
        <v>65</v>
      </c>
      <c r="Y16" s="82"/>
      <c r="Z16" s="79">
        <v>10</v>
      </c>
      <c r="AA16" s="110">
        <v>9</v>
      </c>
      <c r="AB16" s="79">
        <v>9</v>
      </c>
      <c r="AC16" s="110">
        <v>18</v>
      </c>
      <c r="AD16" s="79">
        <v>10</v>
      </c>
      <c r="AE16" s="110">
        <v>20</v>
      </c>
      <c r="AF16" s="79">
        <v>15</v>
      </c>
      <c r="AG16" s="111">
        <f>Z16+AA16+AB16+AE16+AF16+AC16+AD16</f>
        <v>91</v>
      </c>
      <c r="AH16" s="257"/>
      <c r="AI16" s="69">
        <v>12</v>
      </c>
      <c r="AJ16" s="110">
        <v>10</v>
      </c>
      <c r="AK16" s="79">
        <v>18</v>
      </c>
      <c r="AL16" s="110">
        <v>20</v>
      </c>
      <c r="AM16" s="79">
        <v>0</v>
      </c>
      <c r="AN16" s="79">
        <v>13</v>
      </c>
      <c r="AO16" s="110">
        <v>9</v>
      </c>
      <c r="AP16" s="79">
        <v>0</v>
      </c>
      <c r="AQ16" s="110">
        <v>10</v>
      </c>
      <c r="AR16" s="79">
        <f>SUM(AJ16:AQ16)</f>
        <v>80</v>
      </c>
      <c r="AS16" s="18"/>
      <c r="AT16" s="78">
        <v>12</v>
      </c>
      <c r="AU16" s="110">
        <f>AR16+0</f>
        <v>80</v>
      </c>
      <c r="AV16" s="75"/>
      <c r="AW16" s="18"/>
      <c r="AX16" s="110">
        <f>AG16</f>
        <v>91</v>
      </c>
      <c r="AY16" s="75"/>
      <c r="AZ16" s="18"/>
      <c r="BA16" s="110">
        <f>X16</f>
        <v>65</v>
      </c>
      <c r="BB16" s="75"/>
      <c r="BC16" s="18"/>
      <c r="BD16" s="76"/>
      <c r="BE16" s="75"/>
      <c r="BF16" s="18"/>
      <c r="BG16" s="78">
        <v>12</v>
      </c>
      <c r="BH16" s="110">
        <f>AR16-1</f>
        <v>79</v>
      </c>
      <c r="BI16" s="75"/>
      <c r="BJ16" s="18"/>
      <c r="BK16" s="110">
        <f>AG16-1</f>
        <v>90</v>
      </c>
      <c r="BL16" s="75"/>
      <c r="BM16" s="18"/>
      <c r="BN16" s="110">
        <f>X16-1</f>
        <v>64</v>
      </c>
      <c r="BO16" s="75"/>
      <c r="BP16" s="18"/>
      <c r="BQ16" s="76"/>
      <c r="BR16" s="75"/>
      <c r="BS16" s="18"/>
      <c r="BT16" s="78">
        <v>12</v>
      </c>
      <c r="BU16" s="110">
        <f>AR16+2</f>
        <v>82</v>
      </c>
      <c r="BV16" s="75"/>
      <c r="BW16" s="18"/>
      <c r="BX16" s="110">
        <f>AG16+2</f>
        <v>93</v>
      </c>
      <c r="BY16" s="75"/>
      <c r="BZ16" s="18"/>
      <c r="CA16" s="110">
        <f>X16+2</f>
        <v>67</v>
      </c>
      <c r="CB16" s="75"/>
      <c r="CC16" s="18"/>
      <c r="CD16" s="76"/>
      <c r="CE16" s="75"/>
      <c r="CF16" s="18"/>
      <c r="CG16" s="78">
        <v>12</v>
      </c>
      <c r="CH16" s="110">
        <f>AR16+1</f>
        <v>81</v>
      </c>
      <c r="CI16" s="75"/>
      <c r="CJ16" s="18"/>
      <c r="CK16" s="110">
        <f>AG16+1</f>
        <v>92</v>
      </c>
      <c r="CL16" s="75"/>
      <c r="CM16" s="18"/>
      <c r="CN16" s="110">
        <f>X16+1</f>
        <v>66</v>
      </c>
      <c r="CO16" s="75"/>
      <c r="CP16" s="18"/>
      <c r="CQ16" s="76"/>
      <c r="CR16" s="75"/>
      <c r="CS16" s="18"/>
      <c r="CT16" s="78">
        <v>12</v>
      </c>
      <c r="CU16" s="79">
        <f>(AU16+AX16+BA16+BD16)/4</f>
        <v>59</v>
      </c>
      <c r="CV16" s="79">
        <f>(BH16+BK16+BN16+BQ16)/4</f>
        <v>58.25</v>
      </c>
      <c r="CW16" s="79">
        <f>(BU16+BX16+CA16+CD16)/4</f>
        <v>60.5</v>
      </c>
      <c r="CX16" s="79">
        <f>(CH16+CK16+CN16+CQ16)/4</f>
        <v>59.75</v>
      </c>
      <c r="CY16" s="18"/>
      <c r="CZ16" s="80">
        <f>SUM(CU16:CX16)/4</f>
        <v>59.375</v>
      </c>
      <c r="DA16" s="18"/>
      <c r="DB16" s="79">
        <f>CZ16*0.5</f>
        <v>29.6875</v>
      </c>
      <c r="DC16" s="75"/>
      <c r="DD16" s="79">
        <f>DC16*0.5</f>
        <v>0</v>
      </c>
      <c r="DE16" s="81">
        <f>DD16+DB16</f>
        <v>29.6875</v>
      </c>
      <c r="DF16" s="18"/>
      <c r="DG16" s="79">
        <f>CZ16*0.3</f>
        <v>17.8125</v>
      </c>
      <c r="DH16" s="75"/>
      <c r="DI16" s="79">
        <f>DH16*0.7</f>
        <v>0</v>
      </c>
      <c r="DJ16" s="81">
        <f>DI16+DG16</f>
        <v>17.8125</v>
      </c>
      <c r="DK16" s="250"/>
    </row>
    <row r="17" ht="24" customHeight="1">
      <c r="A17" s="255">
        <v>1</v>
      </c>
      <c r="B17" s="69">
        <v>13</v>
      </c>
      <c r="C17" t="s" s="70">
        <v>526</v>
      </c>
      <c r="D17" t="s" s="71">
        <v>527</v>
      </c>
      <c r="E17" t="s" s="72">
        <v>43</v>
      </c>
      <c r="F17" t="s" s="113">
        <v>43</v>
      </c>
      <c r="G17" t="s" s="72">
        <v>43</v>
      </c>
      <c r="H17" s="82"/>
      <c r="I17" t="s" s="72">
        <v>43</v>
      </c>
      <c r="J17" t="s" s="113">
        <v>161</v>
      </c>
      <c r="K17" t="s" s="210">
        <v>161</v>
      </c>
      <c r="L17" s="256">
        <v>10</v>
      </c>
      <c r="M17" s="222">
        <v>18</v>
      </c>
      <c r="N17" s="222">
        <v>8</v>
      </c>
      <c r="O17" s="222">
        <v>8</v>
      </c>
      <c r="P17" s="222">
        <v>9</v>
      </c>
      <c r="Q17" s="82"/>
      <c r="R17" s="79">
        <v>5</v>
      </c>
      <c r="S17" s="79">
        <v>10</v>
      </c>
      <c r="T17" s="79">
        <v>9</v>
      </c>
      <c r="U17" s="79">
        <v>9</v>
      </c>
      <c r="V17" s="79">
        <v>10</v>
      </c>
      <c r="W17" s="79">
        <v>2</v>
      </c>
      <c r="X17" s="163">
        <f>SUM(L17:W17)</f>
        <v>98</v>
      </c>
      <c r="Y17" s="82"/>
      <c r="Z17" s="79">
        <v>10</v>
      </c>
      <c r="AA17" s="110">
        <v>8</v>
      </c>
      <c r="AB17" s="79">
        <v>9</v>
      </c>
      <c r="AC17" s="110">
        <v>18</v>
      </c>
      <c r="AD17" s="79">
        <v>10</v>
      </c>
      <c r="AE17" s="110">
        <v>20</v>
      </c>
      <c r="AF17" s="79">
        <v>15</v>
      </c>
      <c r="AG17" s="143">
        <f>Z17+AA17+AB17+AE17+AF17+AC17+AD17</f>
        <v>90</v>
      </c>
      <c r="AH17" s="257"/>
      <c r="AI17" t="s" s="259">
        <v>528</v>
      </c>
      <c r="AJ17" s="110">
        <v>10</v>
      </c>
      <c r="AK17" s="79">
        <v>19</v>
      </c>
      <c r="AL17" s="110">
        <v>20</v>
      </c>
      <c r="AM17" s="79">
        <v>10</v>
      </c>
      <c r="AN17" s="79">
        <v>14</v>
      </c>
      <c r="AO17" s="110">
        <v>10</v>
      </c>
      <c r="AP17" s="79">
        <v>5</v>
      </c>
      <c r="AQ17" s="110">
        <v>10</v>
      </c>
      <c r="AR17" s="79">
        <f>SUM(AJ17:AQ17)</f>
        <v>98</v>
      </c>
      <c r="AS17" s="18"/>
      <c r="AT17" s="78">
        <v>13</v>
      </c>
      <c r="AU17" s="110">
        <f>AR17+0</f>
        <v>98</v>
      </c>
      <c r="AV17" s="75"/>
      <c r="AW17" s="18"/>
      <c r="AX17" s="110">
        <f>AG17</f>
        <v>90</v>
      </c>
      <c r="AY17" s="75"/>
      <c r="AZ17" s="18"/>
      <c r="BA17" s="110">
        <f>X17</f>
        <v>98</v>
      </c>
      <c r="BB17" s="75"/>
      <c r="BC17" s="18"/>
      <c r="BD17" s="76"/>
      <c r="BE17" s="75"/>
      <c r="BF17" s="18"/>
      <c r="BG17" s="78">
        <v>13</v>
      </c>
      <c r="BH17" s="110">
        <f>AR17-1</f>
        <v>97</v>
      </c>
      <c r="BI17" s="75"/>
      <c r="BJ17" s="18"/>
      <c r="BK17" s="110">
        <f>AG17-1</f>
        <v>89</v>
      </c>
      <c r="BL17" s="75"/>
      <c r="BM17" s="18"/>
      <c r="BN17" s="110">
        <f>X17-1</f>
        <v>97</v>
      </c>
      <c r="BO17" s="75"/>
      <c r="BP17" s="18"/>
      <c r="BQ17" s="76"/>
      <c r="BR17" s="75"/>
      <c r="BS17" s="18"/>
      <c r="BT17" s="78">
        <v>13</v>
      </c>
      <c r="BU17" s="110">
        <f>AR17+2</f>
        <v>100</v>
      </c>
      <c r="BV17" s="75"/>
      <c r="BW17" s="18"/>
      <c r="BX17" s="110">
        <f>AG17+2</f>
        <v>92</v>
      </c>
      <c r="BY17" s="75"/>
      <c r="BZ17" s="18"/>
      <c r="CA17" s="110">
        <f>X17+2</f>
        <v>100</v>
      </c>
      <c r="CB17" s="75"/>
      <c r="CC17" s="18"/>
      <c r="CD17" s="76"/>
      <c r="CE17" s="75"/>
      <c r="CF17" s="18"/>
      <c r="CG17" s="78">
        <v>13</v>
      </c>
      <c r="CH17" s="110">
        <f>AR17+1</f>
        <v>99</v>
      </c>
      <c r="CI17" s="75"/>
      <c r="CJ17" s="18"/>
      <c r="CK17" s="110">
        <f>AG17+1</f>
        <v>91</v>
      </c>
      <c r="CL17" s="75"/>
      <c r="CM17" s="18"/>
      <c r="CN17" s="110">
        <f>X17+1</f>
        <v>99</v>
      </c>
      <c r="CO17" s="75"/>
      <c r="CP17" s="18"/>
      <c r="CQ17" s="76"/>
      <c r="CR17" s="75"/>
      <c r="CS17" s="18"/>
      <c r="CT17" s="78">
        <v>13</v>
      </c>
      <c r="CU17" s="79">
        <f>(AU17+AX17+BA17+BD17)/4</f>
        <v>71.5</v>
      </c>
      <c r="CV17" s="79">
        <f>(BH17+BK17+BN17+BQ17)/4</f>
        <v>70.75</v>
      </c>
      <c r="CW17" s="79">
        <f>(BU17+BX17+CA17+CD17)/4</f>
        <v>73</v>
      </c>
      <c r="CX17" s="79">
        <f>(CH17+CK17+CN17+CQ17)/4</f>
        <v>72.25</v>
      </c>
      <c r="CY17" s="18"/>
      <c r="CZ17" s="80">
        <f>SUM(CU17:CX17)/4</f>
        <v>71.875</v>
      </c>
      <c r="DA17" s="18"/>
      <c r="DB17" s="79">
        <f>CZ17*0.5</f>
        <v>35.9375</v>
      </c>
      <c r="DC17" s="75"/>
      <c r="DD17" s="79">
        <f>DC17*0.5</f>
        <v>0</v>
      </c>
      <c r="DE17" s="81">
        <f>DD17+DB17</f>
        <v>35.9375</v>
      </c>
      <c r="DF17" s="18"/>
      <c r="DG17" s="79">
        <f>CZ17*0.3</f>
        <v>21.5625</v>
      </c>
      <c r="DH17" s="75"/>
      <c r="DI17" s="79">
        <f>DH17*0.7</f>
        <v>0</v>
      </c>
      <c r="DJ17" s="81">
        <f>DI17+DG17</f>
        <v>21.5625</v>
      </c>
      <c r="DK17" s="250"/>
    </row>
    <row r="18" ht="24" customHeight="1">
      <c r="A18" s="255">
        <v>1</v>
      </c>
      <c r="B18" s="69">
        <v>14</v>
      </c>
      <c r="C18" t="s" s="70">
        <v>529</v>
      </c>
      <c r="D18" t="s" s="71">
        <v>530</v>
      </c>
      <c r="E18" t="s" s="72">
        <v>43</v>
      </c>
      <c r="F18" t="s" s="113">
        <v>43</v>
      </c>
      <c r="G18" t="s" s="72">
        <v>43</v>
      </c>
      <c r="H18" s="82"/>
      <c r="I18" t="s" s="72">
        <v>43</v>
      </c>
      <c r="J18" t="s" s="113">
        <v>43</v>
      </c>
      <c r="K18" t="s" s="210">
        <v>161</v>
      </c>
      <c r="L18" s="256">
        <v>10</v>
      </c>
      <c r="M18" s="222">
        <v>0</v>
      </c>
      <c r="N18" s="222">
        <v>7</v>
      </c>
      <c r="O18" s="222">
        <v>10</v>
      </c>
      <c r="P18" s="222">
        <v>7</v>
      </c>
      <c r="Q18" s="82"/>
      <c r="R18" s="79">
        <v>0</v>
      </c>
      <c r="S18" s="79">
        <v>9</v>
      </c>
      <c r="T18" s="79">
        <v>10</v>
      </c>
      <c r="U18" s="79">
        <v>8</v>
      </c>
      <c r="V18" s="79">
        <v>8</v>
      </c>
      <c r="W18" s="79">
        <v>2</v>
      </c>
      <c r="X18" s="163">
        <f>SUM(L18:W18)</f>
        <v>71</v>
      </c>
      <c r="Y18" s="82"/>
      <c r="Z18" s="79">
        <v>10</v>
      </c>
      <c r="AA18" s="110">
        <v>8</v>
      </c>
      <c r="AB18" s="79">
        <v>8</v>
      </c>
      <c r="AC18" s="110">
        <v>0</v>
      </c>
      <c r="AD18" s="79">
        <v>0</v>
      </c>
      <c r="AE18" s="110">
        <v>20</v>
      </c>
      <c r="AF18" s="79">
        <v>15</v>
      </c>
      <c r="AG18" s="111">
        <f>Z18+AA18+AB18+AE18+AF18+AC18+AD18</f>
        <v>61</v>
      </c>
      <c r="AH18" s="257"/>
      <c r="AI18" s="69">
        <v>14</v>
      </c>
      <c r="AJ18" s="123">
        <v>10</v>
      </c>
      <c r="AK18" s="123">
        <v>0</v>
      </c>
      <c r="AL18" s="123">
        <v>20</v>
      </c>
      <c r="AM18" s="123">
        <v>0</v>
      </c>
      <c r="AN18" s="123">
        <v>0</v>
      </c>
      <c r="AO18" s="123">
        <v>6</v>
      </c>
      <c r="AP18" s="123">
        <v>0</v>
      </c>
      <c r="AQ18" s="123">
        <v>10</v>
      </c>
      <c r="AR18" s="123">
        <f>SUM(AJ18:AQ18)</f>
        <v>46</v>
      </c>
      <c r="AS18" s="18"/>
      <c r="AT18" s="78">
        <v>14</v>
      </c>
      <c r="AU18" s="110">
        <f>AR18+0</f>
        <v>46</v>
      </c>
      <c r="AV18" s="79">
        <v>65</v>
      </c>
      <c r="AW18" s="18"/>
      <c r="AX18" s="110">
        <f>AG18</f>
        <v>61</v>
      </c>
      <c r="AY18" s="79">
        <v>65</v>
      </c>
      <c r="AZ18" s="18"/>
      <c r="BA18" s="110">
        <f>X18</f>
        <v>71</v>
      </c>
      <c r="BB18" s="75"/>
      <c r="BC18" s="18"/>
      <c r="BD18" s="76"/>
      <c r="BE18" s="75"/>
      <c r="BF18" s="18"/>
      <c r="BG18" s="78">
        <v>14</v>
      </c>
      <c r="BH18" s="110">
        <f>AR18-1</f>
        <v>45</v>
      </c>
      <c r="BI18" s="79">
        <v>65</v>
      </c>
      <c r="BJ18" s="18"/>
      <c r="BK18" s="110">
        <f>AG18-1</f>
        <v>60</v>
      </c>
      <c r="BL18" s="79">
        <v>65</v>
      </c>
      <c r="BM18" s="18"/>
      <c r="BN18" s="110">
        <f>X18-1</f>
        <v>70</v>
      </c>
      <c r="BO18" s="75"/>
      <c r="BP18" s="18"/>
      <c r="BQ18" s="76"/>
      <c r="BR18" s="75"/>
      <c r="BS18" s="18"/>
      <c r="BT18" s="78">
        <v>14</v>
      </c>
      <c r="BU18" s="110">
        <f>AR18+2</f>
        <v>48</v>
      </c>
      <c r="BV18" s="79">
        <v>65</v>
      </c>
      <c r="BW18" s="18"/>
      <c r="BX18" s="110">
        <f>AG18+2</f>
        <v>63</v>
      </c>
      <c r="BY18" s="79">
        <v>65</v>
      </c>
      <c r="BZ18" s="18"/>
      <c r="CA18" s="110">
        <f>X18+2</f>
        <v>73</v>
      </c>
      <c r="CB18" s="75"/>
      <c r="CC18" s="18"/>
      <c r="CD18" s="76"/>
      <c r="CE18" s="75"/>
      <c r="CF18" s="18"/>
      <c r="CG18" s="78">
        <v>14</v>
      </c>
      <c r="CH18" s="110">
        <f>AR18+1</f>
        <v>47</v>
      </c>
      <c r="CI18" s="79">
        <v>65</v>
      </c>
      <c r="CJ18" s="18"/>
      <c r="CK18" s="110">
        <f>AG18+1</f>
        <v>62</v>
      </c>
      <c r="CL18" s="79">
        <v>65</v>
      </c>
      <c r="CM18" s="18"/>
      <c r="CN18" s="110">
        <f>X18+1</f>
        <v>72</v>
      </c>
      <c r="CO18" s="75"/>
      <c r="CP18" s="18"/>
      <c r="CQ18" s="76"/>
      <c r="CR18" s="75"/>
      <c r="CS18" s="18"/>
      <c r="CT18" s="78">
        <v>14</v>
      </c>
      <c r="CU18" s="79">
        <f>(AU18+AX18+BA18+BD18)/4</f>
        <v>44.5</v>
      </c>
      <c r="CV18" s="79">
        <f>(BH18+BK18+BN18+BQ18)/4</f>
        <v>43.75</v>
      </c>
      <c r="CW18" s="79">
        <f>(BU18+BX18+CA18+CD18)/4</f>
        <v>46</v>
      </c>
      <c r="CX18" s="79">
        <f>(CH18+CK18+CN18+CQ18)/4</f>
        <v>45.25</v>
      </c>
      <c r="CY18" s="18"/>
      <c r="CZ18" s="80">
        <f>SUM(CU18:CX18)/4</f>
        <v>44.875</v>
      </c>
      <c r="DA18" s="18"/>
      <c r="DB18" s="79">
        <f>CZ18*0.5</f>
        <v>22.4375</v>
      </c>
      <c r="DC18" s="75"/>
      <c r="DD18" s="79">
        <f>DC18*0.5</f>
        <v>0</v>
      </c>
      <c r="DE18" s="81">
        <f>DD18+DB18</f>
        <v>22.4375</v>
      </c>
      <c r="DF18" s="18"/>
      <c r="DG18" s="79">
        <f>CZ18*0.3</f>
        <v>13.4625</v>
      </c>
      <c r="DH18" s="75"/>
      <c r="DI18" s="79">
        <f>DH18*0.7</f>
        <v>0</v>
      </c>
      <c r="DJ18" s="81">
        <f>DI18+DG18</f>
        <v>13.4625</v>
      </c>
      <c r="DK18" s="250"/>
    </row>
    <row r="19" ht="24" customHeight="1">
      <c r="A19" s="68"/>
      <c r="B19" s="69">
        <v>15</v>
      </c>
      <c r="C19" t="s" s="70">
        <v>531</v>
      </c>
      <c r="D19" t="s" s="71">
        <v>532</v>
      </c>
      <c r="E19" t="s" s="72">
        <v>43</v>
      </c>
      <c r="F19" t="s" s="113">
        <v>43</v>
      </c>
      <c r="G19" t="s" s="72">
        <v>161</v>
      </c>
      <c r="H19" s="82"/>
      <c r="I19" t="s" s="72">
        <v>43</v>
      </c>
      <c r="J19" t="s" s="113">
        <v>43</v>
      </c>
      <c r="K19" t="s" s="210">
        <v>161</v>
      </c>
      <c r="L19" s="256">
        <v>10</v>
      </c>
      <c r="M19" s="222">
        <v>18</v>
      </c>
      <c r="N19" s="222">
        <v>0</v>
      </c>
      <c r="O19" s="222">
        <v>8</v>
      </c>
      <c r="P19" s="222">
        <v>8</v>
      </c>
      <c r="Q19" s="82"/>
      <c r="R19" s="79">
        <v>5</v>
      </c>
      <c r="S19" s="79">
        <v>8</v>
      </c>
      <c r="T19" s="79">
        <v>9</v>
      </c>
      <c r="U19" s="79">
        <v>9</v>
      </c>
      <c r="V19" s="79">
        <v>10</v>
      </c>
      <c r="W19" s="79">
        <v>2</v>
      </c>
      <c r="X19" s="163">
        <f>SUM(L19:W19)</f>
        <v>87</v>
      </c>
      <c r="Y19" s="82"/>
      <c r="Z19" s="79">
        <v>6</v>
      </c>
      <c r="AA19" s="110">
        <v>8</v>
      </c>
      <c r="AB19" s="79">
        <v>8</v>
      </c>
      <c r="AC19" s="110">
        <v>15</v>
      </c>
      <c r="AD19" s="79">
        <v>10</v>
      </c>
      <c r="AE19" s="110">
        <v>10</v>
      </c>
      <c r="AF19" s="79">
        <v>15</v>
      </c>
      <c r="AG19" s="138">
        <v>75</v>
      </c>
      <c r="AH19" s="257"/>
      <c r="AI19" s="69">
        <v>15</v>
      </c>
      <c r="AJ19" s="110">
        <v>10</v>
      </c>
      <c r="AK19" s="79">
        <v>0</v>
      </c>
      <c r="AL19" s="110">
        <v>20</v>
      </c>
      <c r="AM19" s="79">
        <v>0</v>
      </c>
      <c r="AN19" s="79">
        <v>0</v>
      </c>
      <c r="AO19" s="110">
        <v>8</v>
      </c>
      <c r="AP19" s="79">
        <v>0</v>
      </c>
      <c r="AQ19" s="110">
        <v>10</v>
      </c>
      <c r="AR19" s="79">
        <f>SUM(AJ19:AQ19)</f>
        <v>48</v>
      </c>
      <c r="AS19" s="18"/>
      <c r="AT19" s="78">
        <v>15</v>
      </c>
      <c r="AU19" s="110">
        <f>AR19+0</f>
        <v>48</v>
      </c>
      <c r="AV19" s="79">
        <v>50</v>
      </c>
      <c r="AW19" s="18"/>
      <c r="AX19" s="110">
        <f>AG19</f>
        <v>75</v>
      </c>
      <c r="AY19" s="75"/>
      <c r="AZ19" s="18"/>
      <c r="BA19" s="110">
        <f>X19</f>
        <v>87</v>
      </c>
      <c r="BB19" s="75"/>
      <c r="BC19" s="18"/>
      <c r="BD19" s="76"/>
      <c r="BE19" s="75"/>
      <c r="BF19" s="18"/>
      <c r="BG19" s="78">
        <v>15</v>
      </c>
      <c r="BH19" s="110">
        <f>AR19-1</f>
        <v>47</v>
      </c>
      <c r="BI19" s="79">
        <v>50</v>
      </c>
      <c r="BJ19" s="18"/>
      <c r="BK19" s="110">
        <f>AG19-1</f>
        <v>74</v>
      </c>
      <c r="BL19" s="75"/>
      <c r="BM19" s="18"/>
      <c r="BN19" s="110">
        <f>X19-1</f>
        <v>86</v>
      </c>
      <c r="BO19" s="75"/>
      <c r="BP19" s="18"/>
      <c r="BQ19" s="76"/>
      <c r="BR19" s="75"/>
      <c r="BS19" s="18"/>
      <c r="BT19" s="78">
        <v>15</v>
      </c>
      <c r="BU19" s="110">
        <f>AR19+2</f>
        <v>50</v>
      </c>
      <c r="BV19" s="79">
        <v>50</v>
      </c>
      <c r="BW19" s="18"/>
      <c r="BX19" s="110">
        <f>AG19+2</f>
        <v>77</v>
      </c>
      <c r="BY19" s="75"/>
      <c r="BZ19" s="18"/>
      <c r="CA19" s="110">
        <f>X19+2</f>
        <v>89</v>
      </c>
      <c r="CB19" s="75"/>
      <c r="CC19" s="18"/>
      <c r="CD19" s="76"/>
      <c r="CE19" s="75"/>
      <c r="CF19" s="18"/>
      <c r="CG19" s="78">
        <v>15</v>
      </c>
      <c r="CH19" s="110">
        <f>AR19+1</f>
        <v>49</v>
      </c>
      <c r="CI19" s="79">
        <v>50</v>
      </c>
      <c r="CJ19" s="18"/>
      <c r="CK19" s="110">
        <f>AG19+1</f>
        <v>76</v>
      </c>
      <c r="CL19" s="75"/>
      <c r="CM19" s="18"/>
      <c r="CN19" s="110">
        <f>X19+1</f>
        <v>88</v>
      </c>
      <c r="CO19" s="75"/>
      <c r="CP19" s="18"/>
      <c r="CQ19" s="76"/>
      <c r="CR19" s="75"/>
      <c r="CS19" s="18"/>
      <c r="CT19" s="78">
        <v>15</v>
      </c>
      <c r="CU19" s="79">
        <f>(AU19+AX19+BA19+BD19)/4</f>
        <v>52.5</v>
      </c>
      <c r="CV19" s="79">
        <f>(BH19+BK19+BN19+BQ19)/4</f>
        <v>51.75</v>
      </c>
      <c r="CW19" s="79">
        <f>(BU19+BX19+CA19+CD19)/4</f>
        <v>54</v>
      </c>
      <c r="CX19" s="79">
        <f>(CH19+CK19+CN19+CQ19)/4</f>
        <v>53.25</v>
      </c>
      <c r="CY19" s="18"/>
      <c r="CZ19" s="80">
        <f>SUM(CU19:CX19)/4</f>
        <v>52.875</v>
      </c>
      <c r="DA19" s="18"/>
      <c r="DB19" s="79">
        <f>CZ19*0.5</f>
        <v>26.4375</v>
      </c>
      <c r="DC19" s="75"/>
      <c r="DD19" s="79">
        <f>DC19*0.5</f>
        <v>0</v>
      </c>
      <c r="DE19" s="81">
        <f>DD19+DB19</f>
        <v>26.4375</v>
      </c>
      <c r="DF19" s="18"/>
      <c r="DG19" s="79">
        <f>CZ19*0.3</f>
        <v>15.8625</v>
      </c>
      <c r="DH19" s="75"/>
      <c r="DI19" s="79">
        <f>DH19*0.7</f>
        <v>0</v>
      </c>
      <c r="DJ19" s="81">
        <f>DI19+DG19</f>
        <v>15.8625</v>
      </c>
      <c r="DK19" s="250"/>
    </row>
    <row r="20" ht="24" customHeight="1">
      <c r="A20" s="255">
        <v>1</v>
      </c>
      <c r="B20" s="69">
        <v>16</v>
      </c>
      <c r="C20" t="s" s="70">
        <v>533</v>
      </c>
      <c r="D20" t="s" s="71">
        <v>534</v>
      </c>
      <c r="E20" t="s" s="72">
        <v>43</v>
      </c>
      <c r="F20" t="s" s="113">
        <v>43</v>
      </c>
      <c r="G20" t="s" s="72">
        <v>43</v>
      </c>
      <c r="H20" s="82"/>
      <c r="I20" t="s" s="72">
        <v>43</v>
      </c>
      <c r="J20" t="s" s="113">
        <v>43</v>
      </c>
      <c r="K20" t="s" s="210">
        <v>161</v>
      </c>
      <c r="L20" s="256">
        <v>10</v>
      </c>
      <c r="M20" s="222">
        <v>18</v>
      </c>
      <c r="N20" s="222">
        <v>8</v>
      </c>
      <c r="O20" s="222">
        <v>8</v>
      </c>
      <c r="P20" s="222">
        <v>10</v>
      </c>
      <c r="Q20" s="82"/>
      <c r="R20" s="79">
        <v>0</v>
      </c>
      <c r="S20" s="79">
        <v>8</v>
      </c>
      <c r="T20" s="79">
        <v>8</v>
      </c>
      <c r="U20" s="79">
        <v>8</v>
      </c>
      <c r="V20" s="79">
        <v>10</v>
      </c>
      <c r="W20" s="79">
        <v>2</v>
      </c>
      <c r="X20" s="163">
        <f>SUM(L20:W20)</f>
        <v>90</v>
      </c>
      <c r="Y20" s="82"/>
      <c r="Z20" s="79">
        <v>10</v>
      </c>
      <c r="AA20" s="110">
        <v>8</v>
      </c>
      <c r="AB20" s="79">
        <v>9</v>
      </c>
      <c r="AC20" s="110">
        <v>14</v>
      </c>
      <c r="AD20" s="79">
        <v>14</v>
      </c>
      <c r="AE20" s="110">
        <v>20</v>
      </c>
      <c r="AF20" s="79">
        <v>15</v>
      </c>
      <c r="AG20" s="138">
        <f>Z20+AA20+AB20+AE20+AF20+AC20+AD20</f>
        <v>90</v>
      </c>
      <c r="AH20" s="257"/>
      <c r="AI20" s="69">
        <v>16</v>
      </c>
      <c r="AJ20" s="110">
        <v>10</v>
      </c>
      <c r="AK20" s="79">
        <v>19</v>
      </c>
      <c r="AL20" s="110">
        <v>20</v>
      </c>
      <c r="AM20" s="79">
        <v>10</v>
      </c>
      <c r="AN20" s="79">
        <v>13</v>
      </c>
      <c r="AO20" s="110">
        <v>9</v>
      </c>
      <c r="AP20" s="79">
        <v>0</v>
      </c>
      <c r="AQ20" s="110">
        <v>10</v>
      </c>
      <c r="AR20" s="79">
        <f>SUM(AJ20:AQ20)</f>
        <v>91</v>
      </c>
      <c r="AS20" s="18"/>
      <c r="AT20" s="78">
        <v>16</v>
      </c>
      <c r="AU20" s="110">
        <f>AR20+0</f>
        <v>91</v>
      </c>
      <c r="AV20" s="75"/>
      <c r="AW20" s="18"/>
      <c r="AX20" s="110">
        <f>AG20</f>
        <v>90</v>
      </c>
      <c r="AY20" s="75"/>
      <c r="AZ20" s="18"/>
      <c r="BA20" s="110">
        <f>X20</f>
        <v>90</v>
      </c>
      <c r="BB20" s="75"/>
      <c r="BC20" s="18"/>
      <c r="BD20" s="76"/>
      <c r="BE20" s="75"/>
      <c r="BF20" s="18"/>
      <c r="BG20" s="78">
        <v>16</v>
      </c>
      <c r="BH20" s="110">
        <f>AR20-1</f>
        <v>90</v>
      </c>
      <c r="BI20" s="75"/>
      <c r="BJ20" s="18"/>
      <c r="BK20" s="110">
        <f>AG20-1</f>
        <v>89</v>
      </c>
      <c r="BL20" s="75"/>
      <c r="BM20" s="18"/>
      <c r="BN20" s="110">
        <f>X20-1</f>
        <v>89</v>
      </c>
      <c r="BO20" s="75"/>
      <c r="BP20" s="18"/>
      <c r="BQ20" s="76"/>
      <c r="BR20" s="75"/>
      <c r="BS20" s="18"/>
      <c r="BT20" s="78">
        <v>16</v>
      </c>
      <c r="BU20" s="110">
        <f>AR20+2</f>
        <v>93</v>
      </c>
      <c r="BV20" s="75"/>
      <c r="BW20" s="18"/>
      <c r="BX20" s="110">
        <f>AG20+2</f>
        <v>92</v>
      </c>
      <c r="BY20" s="75"/>
      <c r="BZ20" s="18"/>
      <c r="CA20" s="110">
        <f>X20+2</f>
        <v>92</v>
      </c>
      <c r="CB20" s="75"/>
      <c r="CC20" s="18"/>
      <c r="CD20" s="76"/>
      <c r="CE20" s="75"/>
      <c r="CF20" s="18"/>
      <c r="CG20" s="78">
        <v>16</v>
      </c>
      <c r="CH20" s="110">
        <f>AR20+1</f>
        <v>92</v>
      </c>
      <c r="CI20" s="75"/>
      <c r="CJ20" s="18"/>
      <c r="CK20" s="110">
        <f>AG20+1</f>
        <v>91</v>
      </c>
      <c r="CL20" s="75"/>
      <c r="CM20" s="18"/>
      <c r="CN20" s="110">
        <f>X20+1</f>
        <v>91</v>
      </c>
      <c r="CO20" s="75"/>
      <c r="CP20" s="18"/>
      <c r="CQ20" s="76"/>
      <c r="CR20" s="75"/>
      <c r="CS20" s="18"/>
      <c r="CT20" s="78">
        <v>16</v>
      </c>
      <c r="CU20" s="79">
        <f>(AU20+AX20+BA20+BD20)/4</f>
        <v>67.75</v>
      </c>
      <c r="CV20" s="79">
        <f>(BH20+BK20+BN20+BQ20)/4</f>
        <v>67</v>
      </c>
      <c r="CW20" s="79">
        <f>(BU20+BX20+CA20+CD20)/4</f>
        <v>69.25</v>
      </c>
      <c r="CX20" s="79">
        <f>(CH20+CK20+CN20+CQ20)/4</f>
        <v>68.5</v>
      </c>
      <c r="CY20" s="18"/>
      <c r="CZ20" s="80">
        <f>SUM(CU20:CX20)/4</f>
        <v>68.125</v>
      </c>
      <c r="DA20" s="18"/>
      <c r="DB20" s="79">
        <f>CZ20*0.5</f>
        <v>34.0625</v>
      </c>
      <c r="DC20" s="75"/>
      <c r="DD20" s="79">
        <f>DC20*0.5</f>
        <v>0</v>
      </c>
      <c r="DE20" s="81">
        <f>DD20+DB20</f>
        <v>34.0625</v>
      </c>
      <c r="DF20" s="18"/>
      <c r="DG20" s="79">
        <f>CZ20*0.3</f>
        <v>20.4375</v>
      </c>
      <c r="DH20" s="75"/>
      <c r="DI20" s="79">
        <f>DH20*0.7</f>
        <v>0</v>
      </c>
      <c r="DJ20" s="81">
        <f>DI20+DG20</f>
        <v>20.4375</v>
      </c>
      <c r="DK20" s="250"/>
    </row>
    <row r="21" ht="24" customHeight="1">
      <c r="A21" s="255">
        <v>1</v>
      </c>
      <c r="B21" s="69">
        <v>17</v>
      </c>
      <c r="C21" t="s" s="70">
        <v>535</v>
      </c>
      <c r="D21" t="s" s="71">
        <v>536</v>
      </c>
      <c r="E21" t="s" s="72">
        <v>43</v>
      </c>
      <c r="F21" t="s" s="113">
        <v>43</v>
      </c>
      <c r="G21" t="s" s="72">
        <v>43</v>
      </c>
      <c r="H21" s="82"/>
      <c r="I21" t="s" s="72">
        <v>43</v>
      </c>
      <c r="J21" t="s" s="113">
        <v>43</v>
      </c>
      <c r="K21" t="s" s="210">
        <v>43</v>
      </c>
      <c r="L21" s="256">
        <v>10</v>
      </c>
      <c r="M21" s="222">
        <v>19</v>
      </c>
      <c r="N21" s="222">
        <v>8</v>
      </c>
      <c r="O21" s="222">
        <v>8</v>
      </c>
      <c r="P21" s="222">
        <v>10</v>
      </c>
      <c r="Q21" s="82"/>
      <c r="R21" s="79">
        <v>5</v>
      </c>
      <c r="S21" s="79">
        <v>9</v>
      </c>
      <c r="T21" s="79">
        <v>9</v>
      </c>
      <c r="U21" s="79">
        <v>9</v>
      </c>
      <c r="V21" s="79">
        <v>9</v>
      </c>
      <c r="W21" s="79">
        <v>2</v>
      </c>
      <c r="X21" s="163">
        <f>SUM(L21:W21)</f>
        <v>98</v>
      </c>
      <c r="Y21" s="82"/>
      <c r="Z21" s="79">
        <v>10</v>
      </c>
      <c r="AA21" s="110">
        <v>10</v>
      </c>
      <c r="AB21" s="79">
        <v>10</v>
      </c>
      <c r="AC21" s="110">
        <v>13</v>
      </c>
      <c r="AD21" s="79">
        <v>8</v>
      </c>
      <c r="AE21" s="110">
        <v>20</v>
      </c>
      <c r="AF21" s="79">
        <v>15</v>
      </c>
      <c r="AG21" s="111">
        <f>Z21+AA21+AB21+AE21+AF21+AC21+AD21</f>
        <v>86</v>
      </c>
      <c r="AH21" s="257"/>
      <c r="AI21" s="69">
        <v>17</v>
      </c>
      <c r="AJ21" s="110">
        <v>10</v>
      </c>
      <c r="AK21" s="79">
        <v>17</v>
      </c>
      <c r="AL21" s="110">
        <v>20</v>
      </c>
      <c r="AM21" s="79">
        <v>10</v>
      </c>
      <c r="AN21" s="79">
        <v>12</v>
      </c>
      <c r="AO21" s="110">
        <v>10</v>
      </c>
      <c r="AP21" s="79">
        <v>0</v>
      </c>
      <c r="AQ21" s="110">
        <v>10</v>
      </c>
      <c r="AR21" s="79">
        <f>SUM(AJ21:AQ21)</f>
        <v>89</v>
      </c>
      <c r="AS21" s="18"/>
      <c r="AT21" s="78">
        <v>17</v>
      </c>
      <c r="AU21" s="110">
        <f>AR21+0</f>
        <v>89</v>
      </c>
      <c r="AV21" s="75"/>
      <c r="AW21" s="18"/>
      <c r="AX21" s="110">
        <f>AG21</f>
        <v>86</v>
      </c>
      <c r="AY21" s="75"/>
      <c r="AZ21" s="18"/>
      <c r="BA21" s="110">
        <f>X21</f>
        <v>98</v>
      </c>
      <c r="BB21" s="75"/>
      <c r="BC21" s="18"/>
      <c r="BD21" s="76"/>
      <c r="BE21" s="75"/>
      <c r="BF21" s="18"/>
      <c r="BG21" s="78">
        <v>17</v>
      </c>
      <c r="BH21" s="110">
        <f>AR21-1</f>
        <v>88</v>
      </c>
      <c r="BI21" s="75"/>
      <c r="BJ21" s="18"/>
      <c r="BK21" s="110">
        <f>AG21-1</f>
        <v>85</v>
      </c>
      <c r="BL21" s="75"/>
      <c r="BM21" s="18"/>
      <c r="BN21" s="110">
        <f>X21-1</f>
        <v>97</v>
      </c>
      <c r="BO21" s="75"/>
      <c r="BP21" s="18"/>
      <c r="BQ21" s="76"/>
      <c r="BR21" s="75"/>
      <c r="BS21" s="18"/>
      <c r="BT21" s="78">
        <v>17</v>
      </c>
      <c r="BU21" s="110">
        <f>AR21+2</f>
        <v>91</v>
      </c>
      <c r="BV21" s="75"/>
      <c r="BW21" s="18"/>
      <c r="BX21" s="110">
        <f>AG21+2</f>
        <v>88</v>
      </c>
      <c r="BY21" s="75"/>
      <c r="BZ21" s="18"/>
      <c r="CA21" s="110">
        <f>X21+2</f>
        <v>100</v>
      </c>
      <c r="CB21" s="75"/>
      <c r="CC21" s="18"/>
      <c r="CD21" s="76"/>
      <c r="CE21" s="75"/>
      <c r="CF21" s="18"/>
      <c r="CG21" s="78">
        <v>17</v>
      </c>
      <c r="CH21" s="110">
        <f>AR21+1</f>
        <v>90</v>
      </c>
      <c r="CI21" s="75"/>
      <c r="CJ21" s="18"/>
      <c r="CK21" s="110">
        <f>AG21+1</f>
        <v>87</v>
      </c>
      <c r="CL21" s="75"/>
      <c r="CM21" s="18"/>
      <c r="CN21" s="110">
        <f>X21+1</f>
        <v>99</v>
      </c>
      <c r="CO21" s="75"/>
      <c r="CP21" s="18"/>
      <c r="CQ21" s="76"/>
      <c r="CR21" s="75"/>
      <c r="CS21" s="18"/>
      <c r="CT21" s="78">
        <v>17</v>
      </c>
      <c r="CU21" s="79">
        <f>(AU21+AX21+BA21+BD21)/4</f>
        <v>68.25</v>
      </c>
      <c r="CV21" s="79">
        <f>(BH21+BK21+BN21+BQ21)/4</f>
        <v>67.5</v>
      </c>
      <c r="CW21" s="79">
        <f>(BU21+BX21+CA21+CD21)/4</f>
        <v>69.75</v>
      </c>
      <c r="CX21" s="79">
        <f>(CH21+CK21+CN21+CQ21)/4</f>
        <v>69</v>
      </c>
      <c r="CY21" s="18"/>
      <c r="CZ21" s="80">
        <f>SUM(CU21:CX21)/4</f>
        <v>68.625</v>
      </c>
      <c r="DA21" s="18"/>
      <c r="DB21" s="79">
        <f>CZ21*0.5</f>
        <v>34.3125</v>
      </c>
      <c r="DC21" s="75"/>
      <c r="DD21" s="79">
        <f>DC21*0.5</f>
        <v>0</v>
      </c>
      <c r="DE21" s="81">
        <f>DD21+DB21</f>
        <v>34.3125</v>
      </c>
      <c r="DF21" s="18"/>
      <c r="DG21" s="79">
        <f>CZ21*0.3</f>
        <v>20.5875</v>
      </c>
      <c r="DH21" s="75"/>
      <c r="DI21" s="79">
        <f>DH21*0.7</f>
        <v>0</v>
      </c>
      <c r="DJ21" s="81">
        <f>DI21+DG21</f>
        <v>20.5875</v>
      </c>
      <c r="DK21" s="250"/>
    </row>
    <row r="22" ht="24" customHeight="1">
      <c r="A22" s="255">
        <v>1</v>
      </c>
      <c r="B22" s="69">
        <v>18</v>
      </c>
      <c r="C22" t="s" s="70">
        <v>537</v>
      </c>
      <c r="D22" t="s" s="71">
        <v>538</v>
      </c>
      <c r="E22" t="s" s="72">
        <v>43</v>
      </c>
      <c r="F22" t="s" s="113">
        <v>43</v>
      </c>
      <c r="G22" t="s" s="72">
        <v>43</v>
      </c>
      <c r="H22" s="82"/>
      <c r="I22" t="s" s="72">
        <v>43</v>
      </c>
      <c r="J22" t="s" s="113">
        <v>43</v>
      </c>
      <c r="K22" t="s" s="210">
        <v>43</v>
      </c>
      <c r="L22" s="256">
        <v>10</v>
      </c>
      <c r="M22" s="222">
        <v>19</v>
      </c>
      <c r="N22" s="222">
        <v>9</v>
      </c>
      <c r="O22" s="222">
        <v>10</v>
      </c>
      <c r="P22" s="222">
        <v>10</v>
      </c>
      <c r="Q22" s="82"/>
      <c r="R22" s="79">
        <v>0</v>
      </c>
      <c r="S22" s="79">
        <v>8</v>
      </c>
      <c r="T22" s="79">
        <v>10</v>
      </c>
      <c r="U22" s="79">
        <v>10</v>
      </c>
      <c r="V22" s="79">
        <v>10</v>
      </c>
      <c r="W22" s="79">
        <v>2</v>
      </c>
      <c r="X22" s="163">
        <f>SUM(L22:W22)</f>
        <v>98</v>
      </c>
      <c r="Y22" s="82"/>
      <c r="Z22" s="79">
        <v>10</v>
      </c>
      <c r="AA22" s="110">
        <v>10</v>
      </c>
      <c r="AB22" s="79">
        <v>10</v>
      </c>
      <c r="AC22" s="110">
        <v>15</v>
      </c>
      <c r="AD22" s="79">
        <v>13</v>
      </c>
      <c r="AE22" s="110">
        <v>20</v>
      </c>
      <c r="AF22" s="79">
        <v>15</v>
      </c>
      <c r="AG22" s="138">
        <f>Z22+AA22+AB22+AE22+AF22+AC22+AD22</f>
        <v>93</v>
      </c>
      <c r="AH22" s="257"/>
      <c r="AI22" s="69">
        <v>18</v>
      </c>
      <c r="AJ22" s="110">
        <v>10</v>
      </c>
      <c r="AK22" s="79">
        <v>19</v>
      </c>
      <c r="AL22" s="110">
        <v>20</v>
      </c>
      <c r="AM22" s="79">
        <v>10</v>
      </c>
      <c r="AN22" s="79">
        <v>14</v>
      </c>
      <c r="AO22" s="110">
        <v>10</v>
      </c>
      <c r="AP22" s="79">
        <v>3</v>
      </c>
      <c r="AQ22" s="110">
        <v>10</v>
      </c>
      <c r="AR22" s="79">
        <f>SUM(AJ22:AQ22)</f>
        <v>96</v>
      </c>
      <c r="AS22" s="18"/>
      <c r="AT22" s="78">
        <v>18</v>
      </c>
      <c r="AU22" s="110">
        <f>AR22+0</f>
        <v>96</v>
      </c>
      <c r="AV22" s="75"/>
      <c r="AW22" s="18"/>
      <c r="AX22" s="110">
        <f>AG22</f>
        <v>93</v>
      </c>
      <c r="AY22" s="75"/>
      <c r="AZ22" s="18"/>
      <c r="BA22" s="110">
        <f>X22</f>
        <v>98</v>
      </c>
      <c r="BB22" s="75"/>
      <c r="BC22" s="18"/>
      <c r="BD22" s="76"/>
      <c r="BE22" s="75"/>
      <c r="BF22" s="18"/>
      <c r="BG22" s="78">
        <v>18</v>
      </c>
      <c r="BH22" s="110">
        <f>AR22-1</f>
        <v>95</v>
      </c>
      <c r="BI22" s="75"/>
      <c r="BJ22" s="18"/>
      <c r="BK22" s="110">
        <f>AG22-1</f>
        <v>92</v>
      </c>
      <c r="BL22" s="75"/>
      <c r="BM22" s="18"/>
      <c r="BN22" s="110">
        <f>X22-1</f>
        <v>97</v>
      </c>
      <c r="BO22" s="75"/>
      <c r="BP22" s="18"/>
      <c r="BQ22" s="76"/>
      <c r="BR22" s="75"/>
      <c r="BS22" s="18"/>
      <c r="BT22" s="78">
        <v>18</v>
      </c>
      <c r="BU22" s="110">
        <f>AR22+2</f>
        <v>98</v>
      </c>
      <c r="BV22" s="75"/>
      <c r="BW22" s="18"/>
      <c r="BX22" s="110">
        <f>AG22+2</f>
        <v>95</v>
      </c>
      <c r="BY22" s="75"/>
      <c r="BZ22" s="18"/>
      <c r="CA22" s="110">
        <f>X22+2</f>
        <v>100</v>
      </c>
      <c r="CB22" s="75"/>
      <c r="CC22" s="18"/>
      <c r="CD22" s="76"/>
      <c r="CE22" s="75"/>
      <c r="CF22" s="18"/>
      <c r="CG22" s="78">
        <v>18</v>
      </c>
      <c r="CH22" s="110">
        <f>AR22+1</f>
        <v>97</v>
      </c>
      <c r="CI22" s="75"/>
      <c r="CJ22" s="18"/>
      <c r="CK22" s="110">
        <f>AG22+1</f>
        <v>94</v>
      </c>
      <c r="CL22" s="75"/>
      <c r="CM22" s="18"/>
      <c r="CN22" s="110">
        <f>X22+1</f>
        <v>99</v>
      </c>
      <c r="CO22" s="75"/>
      <c r="CP22" s="18"/>
      <c r="CQ22" s="76"/>
      <c r="CR22" s="75"/>
      <c r="CS22" s="18"/>
      <c r="CT22" s="78">
        <v>18</v>
      </c>
      <c r="CU22" s="79">
        <f>(AU22+AX22+BA22+BD22)/4</f>
        <v>71.75</v>
      </c>
      <c r="CV22" s="79">
        <f>(BH22+BK22+BN22+BQ22)/4</f>
        <v>71</v>
      </c>
      <c r="CW22" s="79">
        <f>(BU22+BX22+CA22+CD22)/4</f>
        <v>73.25</v>
      </c>
      <c r="CX22" s="79">
        <f>(CH22+CK22+CN22+CQ22)/4</f>
        <v>72.5</v>
      </c>
      <c r="CY22" s="18"/>
      <c r="CZ22" s="80">
        <f>SUM(CU22:CX22)/4</f>
        <v>72.125</v>
      </c>
      <c r="DA22" s="18"/>
      <c r="DB22" s="79">
        <f>CZ22*0.5</f>
        <v>36.0625</v>
      </c>
      <c r="DC22" s="75"/>
      <c r="DD22" s="79">
        <f>DC22*0.5</f>
        <v>0</v>
      </c>
      <c r="DE22" s="81">
        <f>DD22+DB22</f>
        <v>36.0625</v>
      </c>
      <c r="DF22" s="18"/>
      <c r="DG22" s="79">
        <f>CZ22*0.3</f>
        <v>21.6375</v>
      </c>
      <c r="DH22" s="75"/>
      <c r="DI22" s="79">
        <f>DH22*0.7</f>
        <v>0</v>
      </c>
      <c r="DJ22" s="81">
        <f>DI22+DG22</f>
        <v>21.6375</v>
      </c>
      <c r="DK22" s="250"/>
    </row>
    <row r="23" ht="24" customHeight="1">
      <c r="A23" s="68"/>
      <c r="B23" s="69">
        <v>19</v>
      </c>
      <c r="C23" t="s" s="70">
        <v>539</v>
      </c>
      <c r="D23" t="s" s="71">
        <v>540</v>
      </c>
      <c r="E23" t="s" s="72">
        <v>43</v>
      </c>
      <c r="F23" t="s" s="113">
        <v>43</v>
      </c>
      <c r="G23" t="s" s="72">
        <v>43</v>
      </c>
      <c r="H23" s="82"/>
      <c r="I23" t="s" s="72">
        <v>43</v>
      </c>
      <c r="J23" t="s" s="113">
        <v>43</v>
      </c>
      <c r="K23" t="s" s="210">
        <v>43</v>
      </c>
      <c r="L23" s="256">
        <v>10</v>
      </c>
      <c r="M23" s="222">
        <v>18</v>
      </c>
      <c r="N23" s="222">
        <v>0</v>
      </c>
      <c r="O23" s="222">
        <v>10</v>
      </c>
      <c r="P23" s="222">
        <v>10</v>
      </c>
      <c r="Q23" s="82"/>
      <c r="R23" s="79">
        <v>0</v>
      </c>
      <c r="S23" s="79">
        <v>8</v>
      </c>
      <c r="T23" s="79">
        <v>9</v>
      </c>
      <c r="U23" s="79">
        <v>9</v>
      </c>
      <c r="V23" s="79">
        <v>10</v>
      </c>
      <c r="W23" s="79">
        <v>2</v>
      </c>
      <c r="X23" s="163">
        <f>SUM(L23:W23)</f>
        <v>86</v>
      </c>
      <c r="Y23" s="82"/>
      <c r="Z23" s="79">
        <v>10</v>
      </c>
      <c r="AA23" s="110">
        <v>9</v>
      </c>
      <c r="AB23" s="79">
        <v>9</v>
      </c>
      <c r="AC23" s="110">
        <v>10</v>
      </c>
      <c r="AD23" s="79">
        <v>0</v>
      </c>
      <c r="AE23" s="110">
        <v>20</v>
      </c>
      <c r="AF23" s="79">
        <v>15</v>
      </c>
      <c r="AG23" s="111">
        <f>Z23+AA23+AB23+AE23+AF23+AC23+AD23</f>
        <v>73</v>
      </c>
      <c r="AH23" s="257"/>
      <c r="AI23" s="69">
        <v>19</v>
      </c>
      <c r="AJ23" s="123">
        <v>10</v>
      </c>
      <c r="AK23" s="123">
        <v>18</v>
      </c>
      <c r="AL23" s="123">
        <v>20</v>
      </c>
      <c r="AM23" s="123">
        <v>8</v>
      </c>
      <c r="AN23" s="123">
        <v>10</v>
      </c>
      <c r="AO23" s="123">
        <v>9</v>
      </c>
      <c r="AP23" s="123">
        <v>0</v>
      </c>
      <c r="AQ23" s="123">
        <v>10</v>
      </c>
      <c r="AR23" s="123">
        <f>SUM(AJ23:AQ23)</f>
        <v>85</v>
      </c>
      <c r="AS23" s="112">
        <v>85</v>
      </c>
      <c r="AT23" s="78">
        <v>19</v>
      </c>
      <c r="AU23" s="110">
        <f>AR23+0</f>
        <v>85</v>
      </c>
      <c r="AV23" s="75"/>
      <c r="AW23" s="18"/>
      <c r="AX23" s="110">
        <f>AG23</f>
        <v>73</v>
      </c>
      <c r="AY23" s="75"/>
      <c r="AZ23" s="18"/>
      <c r="BA23" s="110">
        <f>X23</f>
        <v>86</v>
      </c>
      <c r="BB23" s="75"/>
      <c r="BC23" s="18"/>
      <c r="BD23" s="76"/>
      <c r="BE23" s="75"/>
      <c r="BF23" s="18"/>
      <c r="BG23" s="78">
        <v>19</v>
      </c>
      <c r="BH23" s="110">
        <f>AR23-1</f>
        <v>84</v>
      </c>
      <c r="BI23" s="75"/>
      <c r="BJ23" s="18"/>
      <c r="BK23" s="110">
        <f>AG23-1</f>
        <v>72</v>
      </c>
      <c r="BL23" s="75"/>
      <c r="BM23" s="18"/>
      <c r="BN23" s="110">
        <f>X23-1</f>
        <v>85</v>
      </c>
      <c r="BO23" s="75"/>
      <c r="BP23" s="18"/>
      <c r="BQ23" s="76"/>
      <c r="BR23" s="75"/>
      <c r="BS23" s="18"/>
      <c r="BT23" s="78">
        <v>19</v>
      </c>
      <c r="BU23" s="110">
        <f>AR23+2</f>
        <v>87</v>
      </c>
      <c r="BV23" s="75"/>
      <c r="BW23" s="18"/>
      <c r="BX23" s="110">
        <f>AG23+2</f>
        <v>75</v>
      </c>
      <c r="BY23" s="75"/>
      <c r="BZ23" s="18"/>
      <c r="CA23" s="110">
        <f>X23+2</f>
        <v>88</v>
      </c>
      <c r="CB23" s="75"/>
      <c r="CC23" s="18"/>
      <c r="CD23" s="76"/>
      <c r="CE23" s="75"/>
      <c r="CF23" s="18"/>
      <c r="CG23" s="78">
        <v>19</v>
      </c>
      <c r="CH23" s="110">
        <f>AR23+1</f>
        <v>86</v>
      </c>
      <c r="CI23" s="75"/>
      <c r="CJ23" s="18"/>
      <c r="CK23" s="110">
        <f>AG23+1</f>
        <v>74</v>
      </c>
      <c r="CL23" s="75"/>
      <c r="CM23" s="18"/>
      <c r="CN23" s="110">
        <f>X23+1</f>
        <v>87</v>
      </c>
      <c r="CO23" s="75"/>
      <c r="CP23" s="18"/>
      <c r="CQ23" s="76"/>
      <c r="CR23" s="75"/>
      <c r="CS23" s="18"/>
      <c r="CT23" s="78">
        <v>19</v>
      </c>
      <c r="CU23" s="79">
        <f>(AU23+AX23+BA23+BD23)/4</f>
        <v>61</v>
      </c>
      <c r="CV23" s="79">
        <f>(BH23+BK23+BN23+BQ23)/4</f>
        <v>60.25</v>
      </c>
      <c r="CW23" s="79">
        <f>(BU23+BX23+CA23+CD23)/4</f>
        <v>62.5</v>
      </c>
      <c r="CX23" s="79">
        <f>(CH23+CK23+CN23+CQ23)/4</f>
        <v>61.75</v>
      </c>
      <c r="CY23" s="18"/>
      <c r="CZ23" s="80">
        <f>SUM(CU23:CX23)/4</f>
        <v>61.375</v>
      </c>
      <c r="DA23" s="18"/>
      <c r="DB23" s="79">
        <f>CZ23*0.5</f>
        <v>30.6875</v>
      </c>
      <c r="DC23" s="75"/>
      <c r="DD23" s="79">
        <f>DC23*0.5</f>
        <v>0</v>
      </c>
      <c r="DE23" s="81">
        <f>DD23+DB23</f>
        <v>30.6875</v>
      </c>
      <c r="DF23" s="18"/>
      <c r="DG23" s="79">
        <f>CZ23*0.3</f>
        <v>18.4125</v>
      </c>
      <c r="DH23" s="75"/>
      <c r="DI23" s="79">
        <f>DH23*0.7</f>
        <v>0</v>
      </c>
      <c r="DJ23" s="81">
        <f>DI23+DG23</f>
        <v>18.4125</v>
      </c>
      <c r="DK23" s="250"/>
    </row>
    <row r="24" ht="24" customHeight="1">
      <c r="A24" s="255">
        <v>1</v>
      </c>
      <c r="B24" s="69">
        <v>20</v>
      </c>
      <c r="C24" t="s" s="70">
        <v>541</v>
      </c>
      <c r="D24" t="s" s="71">
        <v>542</v>
      </c>
      <c r="E24" t="s" s="72">
        <v>43</v>
      </c>
      <c r="F24" t="s" s="113">
        <v>43</v>
      </c>
      <c r="G24" t="s" s="72">
        <v>163</v>
      </c>
      <c r="H24" s="82"/>
      <c r="I24" t="s" s="72">
        <v>161</v>
      </c>
      <c r="J24" t="s" s="113">
        <v>43</v>
      </c>
      <c r="K24" t="s" s="210">
        <v>43</v>
      </c>
      <c r="L24" s="256">
        <v>10</v>
      </c>
      <c r="M24" s="222">
        <v>0</v>
      </c>
      <c r="N24" s="222">
        <v>0</v>
      </c>
      <c r="O24" s="220"/>
      <c r="P24" s="222">
        <v>6</v>
      </c>
      <c r="Q24" s="82"/>
      <c r="R24" s="79">
        <v>0</v>
      </c>
      <c r="S24" s="79">
        <v>0</v>
      </c>
      <c r="T24" s="79">
        <v>0</v>
      </c>
      <c r="U24" s="79">
        <v>0</v>
      </c>
      <c r="V24" s="79">
        <v>0</v>
      </c>
      <c r="W24" s="79">
        <v>2</v>
      </c>
      <c r="X24" s="163">
        <f>SUM(L24:W24)</f>
        <v>18</v>
      </c>
      <c r="Y24" t="s" s="113">
        <v>511</v>
      </c>
      <c r="Z24" s="79">
        <v>7</v>
      </c>
      <c r="AA24" s="110">
        <v>8</v>
      </c>
      <c r="AB24" s="79">
        <v>5</v>
      </c>
      <c r="AC24" s="110">
        <v>15</v>
      </c>
      <c r="AD24" s="79">
        <v>0</v>
      </c>
      <c r="AE24" s="110">
        <v>20</v>
      </c>
      <c r="AF24" s="79">
        <v>15</v>
      </c>
      <c r="AG24" s="111">
        <f>Z24+AA24+AB24+AE24+AF24+AC24+AD24</f>
        <v>70</v>
      </c>
      <c r="AH24" s="257"/>
      <c r="AI24" s="69">
        <v>20</v>
      </c>
      <c r="AJ24" s="123">
        <v>10</v>
      </c>
      <c r="AK24" s="123">
        <v>15</v>
      </c>
      <c r="AL24" s="123">
        <v>20</v>
      </c>
      <c r="AM24" s="123">
        <v>0</v>
      </c>
      <c r="AN24" s="123">
        <v>0</v>
      </c>
      <c r="AO24" s="123">
        <v>8</v>
      </c>
      <c r="AP24" s="123">
        <v>0</v>
      </c>
      <c r="AQ24" s="123">
        <v>10</v>
      </c>
      <c r="AR24" s="123">
        <f>SUM(AJ24:AQ24)</f>
        <v>63</v>
      </c>
      <c r="AS24" s="18"/>
      <c r="AT24" s="78">
        <v>20</v>
      </c>
      <c r="AU24" s="110">
        <f>AR24+0</f>
        <v>63</v>
      </c>
      <c r="AV24" s="79">
        <v>65</v>
      </c>
      <c r="AW24" s="18"/>
      <c r="AX24" s="110">
        <f>AG24</f>
        <v>70</v>
      </c>
      <c r="AY24" s="75"/>
      <c r="AZ24" s="18"/>
      <c r="BA24" s="110">
        <f>X24</f>
        <v>18</v>
      </c>
      <c r="BB24" s="75"/>
      <c r="BC24" s="18"/>
      <c r="BD24" s="76"/>
      <c r="BE24" s="75"/>
      <c r="BF24" s="18"/>
      <c r="BG24" s="78">
        <v>20</v>
      </c>
      <c r="BH24" s="110">
        <f>AR24-1</f>
        <v>62</v>
      </c>
      <c r="BI24" s="79">
        <v>65</v>
      </c>
      <c r="BJ24" s="18"/>
      <c r="BK24" s="110">
        <f>AG24-1</f>
        <v>69</v>
      </c>
      <c r="BL24" s="75"/>
      <c r="BM24" s="18"/>
      <c r="BN24" s="110">
        <f>X24-1</f>
        <v>17</v>
      </c>
      <c r="BO24" s="75"/>
      <c r="BP24" s="18"/>
      <c r="BQ24" s="76"/>
      <c r="BR24" s="75"/>
      <c r="BS24" s="18"/>
      <c r="BT24" s="78">
        <v>20</v>
      </c>
      <c r="BU24" s="110">
        <f>AR24+2</f>
        <v>65</v>
      </c>
      <c r="BV24" s="79">
        <v>65</v>
      </c>
      <c r="BW24" s="18"/>
      <c r="BX24" s="110">
        <f>AG24+2</f>
        <v>72</v>
      </c>
      <c r="BY24" s="75"/>
      <c r="BZ24" s="18"/>
      <c r="CA24" s="110">
        <f>X24+2</f>
        <v>20</v>
      </c>
      <c r="CB24" s="75"/>
      <c r="CC24" s="18"/>
      <c r="CD24" s="76"/>
      <c r="CE24" s="75"/>
      <c r="CF24" s="18"/>
      <c r="CG24" s="78">
        <v>20</v>
      </c>
      <c r="CH24" s="110">
        <f>AR24+1</f>
        <v>64</v>
      </c>
      <c r="CI24" s="79">
        <v>65</v>
      </c>
      <c r="CJ24" s="18"/>
      <c r="CK24" s="110">
        <f>AG24+1</f>
        <v>71</v>
      </c>
      <c r="CL24" s="75"/>
      <c r="CM24" s="18"/>
      <c r="CN24" s="110">
        <f>X24+1</f>
        <v>19</v>
      </c>
      <c r="CO24" s="75"/>
      <c r="CP24" s="18"/>
      <c r="CQ24" s="76"/>
      <c r="CR24" s="75"/>
      <c r="CS24" s="18"/>
      <c r="CT24" s="78">
        <v>20</v>
      </c>
      <c r="CU24" s="79">
        <f>(AU24+AX24+BA24+BD24)/4</f>
        <v>37.75</v>
      </c>
      <c r="CV24" s="79">
        <f>(BH24+BK24+BN24+BQ24)/4</f>
        <v>37</v>
      </c>
      <c r="CW24" s="79">
        <f>(BU24+BX24+CA24+CD24)/4</f>
        <v>39.25</v>
      </c>
      <c r="CX24" s="79">
        <f>(CH24+CK24+CN24+CQ24)/4</f>
        <v>38.5</v>
      </c>
      <c r="CY24" s="18"/>
      <c r="CZ24" s="80">
        <f>SUM(CU24:CX24)/4</f>
        <v>38.125</v>
      </c>
      <c r="DA24" s="18"/>
      <c r="DB24" s="79">
        <f>CZ24*0.5</f>
        <v>19.0625</v>
      </c>
      <c r="DC24" s="75"/>
      <c r="DD24" s="79">
        <f>DC24*0.5</f>
        <v>0</v>
      </c>
      <c r="DE24" s="81">
        <f>DD24+DB24</f>
        <v>19.0625</v>
      </c>
      <c r="DF24" s="18"/>
      <c r="DG24" s="79">
        <f>CZ24*0.3</f>
        <v>11.4375</v>
      </c>
      <c r="DH24" s="75"/>
      <c r="DI24" s="79">
        <f>DH24*0.7</f>
        <v>0</v>
      </c>
      <c r="DJ24" s="81">
        <f>DI24+DG24</f>
        <v>11.4375</v>
      </c>
      <c r="DK24" s="250"/>
    </row>
    <row r="25" ht="24" customHeight="1">
      <c r="A25" s="68"/>
      <c r="B25" s="69">
        <v>21</v>
      </c>
      <c r="C25" t="s" s="70">
        <v>543</v>
      </c>
      <c r="D25" t="s" s="71">
        <v>544</v>
      </c>
      <c r="E25" t="s" s="72">
        <v>43</v>
      </c>
      <c r="F25" t="s" s="113">
        <v>163</v>
      </c>
      <c r="G25" t="s" s="72">
        <v>43</v>
      </c>
      <c r="H25" s="82"/>
      <c r="I25" t="s" s="72">
        <v>43</v>
      </c>
      <c r="J25" t="s" s="113">
        <v>43</v>
      </c>
      <c r="K25" t="s" s="210">
        <v>43</v>
      </c>
      <c r="L25" s="256">
        <v>10</v>
      </c>
      <c r="M25" s="222">
        <v>0</v>
      </c>
      <c r="N25" s="222">
        <v>0</v>
      </c>
      <c r="O25" s="222">
        <v>7</v>
      </c>
      <c r="P25" s="222">
        <v>8</v>
      </c>
      <c r="Q25" s="82"/>
      <c r="R25" s="79">
        <v>0</v>
      </c>
      <c r="S25" s="79">
        <v>8</v>
      </c>
      <c r="T25" s="79">
        <v>7</v>
      </c>
      <c r="U25" s="79">
        <v>8</v>
      </c>
      <c r="V25" s="79">
        <v>7</v>
      </c>
      <c r="W25" s="79">
        <v>2</v>
      </c>
      <c r="X25" s="163">
        <f>SUM(L25:W25)</f>
        <v>57</v>
      </c>
      <c r="Y25" t="s" s="113">
        <v>511</v>
      </c>
      <c r="Z25" s="79">
        <v>9</v>
      </c>
      <c r="AA25" s="110">
        <v>8</v>
      </c>
      <c r="AB25" s="79">
        <v>5</v>
      </c>
      <c r="AC25" s="110">
        <v>0</v>
      </c>
      <c r="AD25" s="79">
        <v>0</v>
      </c>
      <c r="AE25" s="110">
        <v>20</v>
      </c>
      <c r="AF25" s="79">
        <v>15</v>
      </c>
      <c r="AG25" s="111">
        <f>Z25+AA25+AB25+AE25+AF25+AC25+AD25</f>
        <v>57</v>
      </c>
      <c r="AH25" s="257"/>
      <c r="AI25" s="69">
        <v>21</v>
      </c>
      <c r="AJ25" s="110">
        <v>10</v>
      </c>
      <c r="AK25" s="79">
        <v>0</v>
      </c>
      <c r="AL25" s="110">
        <v>20</v>
      </c>
      <c r="AM25" s="79">
        <v>0</v>
      </c>
      <c r="AN25" s="79">
        <v>0</v>
      </c>
      <c r="AO25" s="110">
        <v>7</v>
      </c>
      <c r="AP25" s="79">
        <v>0</v>
      </c>
      <c r="AQ25" s="110">
        <v>10</v>
      </c>
      <c r="AR25" s="79">
        <f>SUM(AJ25:AQ25)</f>
        <v>47</v>
      </c>
      <c r="AS25" s="18"/>
      <c r="AT25" s="78">
        <v>21</v>
      </c>
      <c r="AU25" s="110">
        <f>AR25+0</f>
        <v>47</v>
      </c>
      <c r="AV25" s="79">
        <v>50</v>
      </c>
      <c r="AW25" s="18"/>
      <c r="AX25" s="110">
        <f>AG25</f>
        <v>57</v>
      </c>
      <c r="AY25" s="79">
        <v>60</v>
      </c>
      <c r="AZ25" s="18"/>
      <c r="BA25" s="110">
        <f>X25</f>
        <v>57</v>
      </c>
      <c r="BB25" s="75"/>
      <c r="BC25" s="18"/>
      <c r="BD25" s="76"/>
      <c r="BE25" s="75"/>
      <c r="BF25" s="18"/>
      <c r="BG25" s="78">
        <v>21</v>
      </c>
      <c r="BH25" s="110">
        <f>AR25-1</f>
        <v>46</v>
      </c>
      <c r="BI25" s="79">
        <v>50</v>
      </c>
      <c r="BJ25" s="18"/>
      <c r="BK25" s="110">
        <f>AG25-1</f>
        <v>56</v>
      </c>
      <c r="BL25" s="79">
        <v>60</v>
      </c>
      <c r="BM25" s="18"/>
      <c r="BN25" s="110">
        <f>X25-1</f>
        <v>56</v>
      </c>
      <c r="BO25" s="75"/>
      <c r="BP25" s="18"/>
      <c r="BQ25" s="76"/>
      <c r="BR25" s="75"/>
      <c r="BS25" s="18"/>
      <c r="BT25" s="78">
        <v>21</v>
      </c>
      <c r="BU25" s="110">
        <f>AR25+2</f>
        <v>49</v>
      </c>
      <c r="BV25" s="79">
        <v>50</v>
      </c>
      <c r="BW25" s="18"/>
      <c r="BX25" s="110">
        <f>AG25+2</f>
        <v>59</v>
      </c>
      <c r="BY25" s="79">
        <v>60</v>
      </c>
      <c r="BZ25" s="18"/>
      <c r="CA25" s="110">
        <f>X25+2</f>
        <v>59</v>
      </c>
      <c r="CB25" s="75"/>
      <c r="CC25" s="18"/>
      <c r="CD25" s="76"/>
      <c r="CE25" s="75"/>
      <c r="CF25" s="18"/>
      <c r="CG25" s="78">
        <v>21</v>
      </c>
      <c r="CH25" s="110">
        <f>AR25+1</f>
        <v>48</v>
      </c>
      <c r="CI25" s="79">
        <v>50</v>
      </c>
      <c r="CJ25" s="18"/>
      <c r="CK25" s="110">
        <f>AG25+1</f>
        <v>58</v>
      </c>
      <c r="CL25" s="79">
        <v>60</v>
      </c>
      <c r="CM25" s="18"/>
      <c r="CN25" s="110">
        <f>X25+1</f>
        <v>58</v>
      </c>
      <c r="CO25" s="75"/>
      <c r="CP25" s="18"/>
      <c r="CQ25" s="76"/>
      <c r="CR25" s="75"/>
      <c r="CS25" s="18"/>
      <c r="CT25" s="78">
        <v>21</v>
      </c>
      <c r="CU25" s="79">
        <f>(AU25+AX25+BA25+BD25)/4</f>
        <v>40.25</v>
      </c>
      <c r="CV25" s="79">
        <f>(BH25+BK25+BN25+BQ25)/4</f>
        <v>39.5</v>
      </c>
      <c r="CW25" s="79">
        <f>(BU25+BX25+CA25+CD25)/4</f>
        <v>41.75</v>
      </c>
      <c r="CX25" s="79">
        <f>(CH25+CK25+CN25+CQ25)/4</f>
        <v>41</v>
      </c>
      <c r="CY25" s="18"/>
      <c r="CZ25" s="80">
        <f>SUM(CU25:CX25)/4</f>
        <v>40.625</v>
      </c>
      <c r="DA25" s="18"/>
      <c r="DB25" s="79">
        <f>CZ25*0.5</f>
        <v>20.3125</v>
      </c>
      <c r="DC25" s="75"/>
      <c r="DD25" s="79">
        <f>DC25*0.5</f>
        <v>0</v>
      </c>
      <c r="DE25" s="81">
        <f>DD25+DB25</f>
        <v>20.3125</v>
      </c>
      <c r="DF25" s="18"/>
      <c r="DG25" s="79">
        <f>CZ25*0.3</f>
        <v>12.1875</v>
      </c>
      <c r="DH25" s="75"/>
      <c r="DI25" s="79">
        <f>DH25*0.7</f>
        <v>0</v>
      </c>
      <c r="DJ25" s="81">
        <f>DI25+DG25</f>
        <v>12.1875</v>
      </c>
      <c r="DK25" s="250"/>
    </row>
    <row r="26" ht="24" customHeight="1">
      <c r="A26" s="255">
        <v>1</v>
      </c>
      <c r="B26" s="69">
        <v>22</v>
      </c>
      <c r="C26" t="s" s="70">
        <v>545</v>
      </c>
      <c r="D26" t="s" s="262">
        <v>546</v>
      </c>
      <c r="E26" t="s" s="72">
        <v>43</v>
      </c>
      <c r="F26" t="s" s="113">
        <v>43</v>
      </c>
      <c r="G26" t="s" s="72">
        <v>43</v>
      </c>
      <c r="H26" s="82"/>
      <c r="I26" t="s" s="72">
        <v>43</v>
      </c>
      <c r="J26" t="s" s="113">
        <v>43</v>
      </c>
      <c r="K26" t="s" s="210">
        <v>43</v>
      </c>
      <c r="L26" s="256">
        <v>10</v>
      </c>
      <c r="M26" s="222">
        <v>18</v>
      </c>
      <c r="N26" s="222">
        <v>8</v>
      </c>
      <c r="O26" s="222">
        <v>9</v>
      </c>
      <c r="P26" s="222">
        <v>8</v>
      </c>
      <c r="Q26" s="82"/>
      <c r="R26" s="79">
        <v>3</v>
      </c>
      <c r="S26" s="79">
        <v>8</v>
      </c>
      <c r="T26" s="79">
        <v>8</v>
      </c>
      <c r="U26" s="79">
        <v>8</v>
      </c>
      <c r="V26" s="79">
        <v>8</v>
      </c>
      <c r="W26" s="79">
        <v>2</v>
      </c>
      <c r="X26" s="163">
        <f>SUM(L26:W26)</f>
        <v>90</v>
      </c>
      <c r="Y26" s="82"/>
      <c r="Z26" s="79">
        <v>10</v>
      </c>
      <c r="AA26" s="110">
        <v>9</v>
      </c>
      <c r="AB26" s="79">
        <v>10</v>
      </c>
      <c r="AC26" s="110">
        <v>10</v>
      </c>
      <c r="AD26" s="79">
        <v>10</v>
      </c>
      <c r="AE26" s="110">
        <v>20</v>
      </c>
      <c r="AF26" s="79">
        <v>15</v>
      </c>
      <c r="AG26" s="111">
        <f>Z26+AA26+AB26+AE26+AF26+AC26+AD26</f>
        <v>84</v>
      </c>
      <c r="AH26" s="257"/>
      <c r="AI26" s="69">
        <v>22</v>
      </c>
      <c r="AJ26" s="110">
        <v>10</v>
      </c>
      <c r="AK26" s="79">
        <v>18</v>
      </c>
      <c r="AL26" s="110">
        <v>20</v>
      </c>
      <c r="AM26" s="79">
        <v>10</v>
      </c>
      <c r="AN26" s="79">
        <v>12</v>
      </c>
      <c r="AO26" s="110">
        <v>10</v>
      </c>
      <c r="AP26" s="79">
        <v>0</v>
      </c>
      <c r="AQ26" s="110">
        <v>10</v>
      </c>
      <c r="AR26" s="79">
        <f>SUM(AJ26:AQ26)</f>
        <v>90</v>
      </c>
      <c r="AS26" s="18"/>
      <c r="AT26" s="78">
        <v>22</v>
      </c>
      <c r="AU26" s="110">
        <f>AR26+0</f>
        <v>90</v>
      </c>
      <c r="AV26" s="75"/>
      <c r="AW26" s="18"/>
      <c r="AX26" s="110">
        <f>AG26</f>
        <v>84</v>
      </c>
      <c r="AY26" s="75"/>
      <c r="AZ26" s="18"/>
      <c r="BA26" s="110">
        <f>X26</f>
        <v>90</v>
      </c>
      <c r="BB26" s="75"/>
      <c r="BC26" s="18"/>
      <c r="BD26" s="76"/>
      <c r="BE26" s="75"/>
      <c r="BF26" s="18"/>
      <c r="BG26" s="78">
        <v>22</v>
      </c>
      <c r="BH26" s="110">
        <f>AR26-1</f>
        <v>89</v>
      </c>
      <c r="BI26" s="75"/>
      <c r="BJ26" s="18"/>
      <c r="BK26" s="110">
        <f>AG26-1</f>
        <v>83</v>
      </c>
      <c r="BL26" s="75"/>
      <c r="BM26" s="18"/>
      <c r="BN26" s="110">
        <f>X26-1</f>
        <v>89</v>
      </c>
      <c r="BO26" s="75"/>
      <c r="BP26" s="18"/>
      <c r="BQ26" s="76"/>
      <c r="BR26" s="75"/>
      <c r="BS26" s="18"/>
      <c r="BT26" s="78">
        <v>22</v>
      </c>
      <c r="BU26" s="110">
        <f>AR26+2</f>
        <v>92</v>
      </c>
      <c r="BV26" s="75"/>
      <c r="BW26" s="18"/>
      <c r="BX26" s="110">
        <f>AG26+2</f>
        <v>86</v>
      </c>
      <c r="BY26" s="75"/>
      <c r="BZ26" s="18"/>
      <c r="CA26" s="110">
        <f>X26+2</f>
        <v>92</v>
      </c>
      <c r="CB26" s="75"/>
      <c r="CC26" s="18"/>
      <c r="CD26" s="76"/>
      <c r="CE26" s="75"/>
      <c r="CF26" s="18"/>
      <c r="CG26" s="78">
        <v>22</v>
      </c>
      <c r="CH26" s="110">
        <f>AR26+1</f>
        <v>91</v>
      </c>
      <c r="CI26" s="75"/>
      <c r="CJ26" s="18"/>
      <c r="CK26" s="110">
        <f>AG26+1</f>
        <v>85</v>
      </c>
      <c r="CL26" s="75"/>
      <c r="CM26" s="18"/>
      <c r="CN26" s="110">
        <f>X26+1</f>
        <v>91</v>
      </c>
      <c r="CO26" s="75"/>
      <c r="CP26" s="18"/>
      <c r="CQ26" s="76"/>
      <c r="CR26" s="75"/>
      <c r="CS26" s="18"/>
      <c r="CT26" s="78">
        <v>22</v>
      </c>
      <c r="CU26" s="79">
        <f>(AU26+AX26+BA26+BD26)/4</f>
        <v>66</v>
      </c>
      <c r="CV26" s="79">
        <f>(BH26+BK26+BN26+BQ26)/4</f>
        <v>65.25</v>
      </c>
      <c r="CW26" s="79">
        <f>(BU26+BX26+CA26+CD26)/4</f>
        <v>67.5</v>
      </c>
      <c r="CX26" s="79">
        <f>(CH26+CK26+CN26+CQ26)/4</f>
        <v>66.75</v>
      </c>
      <c r="CY26" s="18"/>
      <c r="CZ26" s="80">
        <f>SUM(CU26:CX26)/4</f>
        <v>66.375</v>
      </c>
      <c r="DA26" s="18"/>
      <c r="DB26" s="79">
        <f>CZ26*0.5</f>
        <v>33.1875</v>
      </c>
      <c r="DC26" s="75"/>
      <c r="DD26" s="79">
        <f>DC26*0.5</f>
        <v>0</v>
      </c>
      <c r="DE26" s="81">
        <f>DD26+DB26</f>
        <v>33.1875</v>
      </c>
      <c r="DF26" s="18"/>
      <c r="DG26" s="79">
        <f>CZ26*0.3</f>
        <v>19.9125</v>
      </c>
      <c r="DH26" s="75"/>
      <c r="DI26" s="79">
        <f>DH26*0.7</f>
        <v>0</v>
      </c>
      <c r="DJ26" s="81">
        <f>DI26+DG26</f>
        <v>19.9125</v>
      </c>
      <c r="DK26" s="250"/>
    </row>
    <row r="27" ht="24" customHeight="1">
      <c r="A27" s="255">
        <v>1</v>
      </c>
      <c r="B27" s="69">
        <v>23</v>
      </c>
      <c r="C27" t="s" s="70">
        <v>547</v>
      </c>
      <c r="D27" t="s" s="71">
        <v>548</v>
      </c>
      <c r="E27" t="s" s="72">
        <v>43</v>
      </c>
      <c r="F27" t="s" s="113">
        <v>43</v>
      </c>
      <c r="G27" t="s" s="72">
        <v>43</v>
      </c>
      <c r="H27" s="82"/>
      <c r="I27" t="s" s="72">
        <v>43</v>
      </c>
      <c r="J27" t="s" s="113">
        <v>43</v>
      </c>
      <c r="K27" t="s" s="210">
        <v>43</v>
      </c>
      <c r="L27" s="256">
        <v>10</v>
      </c>
      <c r="M27" s="220"/>
      <c r="N27" s="220"/>
      <c r="O27" s="220"/>
      <c r="P27" s="220"/>
      <c r="Q27" s="82"/>
      <c r="R27" t="s" s="83">
        <v>549</v>
      </c>
      <c r="S27" s="79">
        <v>10</v>
      </c>
      <c r="T27" s="79">
        <v>10</v>
      </c>
      <c r="U27" s="79">
        <v>10</v>
      </c>
      <c r="V27" s="79">
        <v>10</v>
      </c>
      <c r="W27" s="79">
        <v>2</v>
      </c>
      <c r="X27" s="163">
        <f>SUM(L27:W27)</f>
        <v>52</v>
      </c>
      <c r="Y27" t="s" s="113">
        <v>550</v>
      </c>
      <c r="Z27" s="79">
        <v>10</v>
      </c>
      <c r="AA27" s="110">
        <v>8</v>
      </c>
      <c r="AB27" s="79">
        <v>8</v>
      </c>
      <c r="AC27" s="110">
        <v>0</v>
      </c>
      <c r="AD27" s="79">
        <v>0</v>
      </c>
      <c r="AE27" s="110">
        <v>20</v>
      </c>
      <c r="AF27" s="79">
        <v>15</v>
      </c>
      <c r="AG27" s="111">
        <f>Z27+AA27+AB27+AE27+AF27+AC27+AD27</f>
        <v>61</v>
      </c>
      <c r="AH27" s="257"/>
      <c r="AI27" s="69">
        <v>23</v>
      </c>
      <c r="AJ27" s="123">
        <v>10</v>
      </c>
      <c r="AK27" s="123">
        <v>0</v>
      </c>
      <c r="AL27" s="123">
        <v>20</v>
      </c>
      <c r="AM27" s="123">
        <v>0</v>
      </c>
      <c r="AN27" s="123">
        <v>0</v>
      </c>
      <c r="AO27" s="123">
        <v>8</v>
      </c>
      <c r="AP27" s="123">
        <v>0</v>
      </c>
      <c r="AQ27" s="123">
        <v>10</v>
      </c>
      <c r="AR27" s="123">
        <f>SUM(AJ27:AQ27)</f>
        <v>48</v>
      </c>
      <c r="AS27" s="18"/>
      <c r="AT27" s="78">
        <v>23</v>
      </c>
      <c r="AU27" s="110">
        <f>AR27+0</f>
        <v>48</v>
      </c>
      <c r="AV27" s="79">
        <v>50</v>
      </c>
      <c r="AW27" s="18"/>
      <c r="AX27" s="110">
        <f>AG27</f>
        <v>61</v>
      </c>
      <c r="AY27" s="79">
        <v>65</v>
      </c>
      <c r="AZ27" s="18"/>
      <c r="BA27" s="110">
        <f>X27</f>
        <v>52</v>
      </c>
      <c r="BB27" s="75"/>
      <c r="BC27" s="18"/>
      <c r="BD27" s="76"/>
      <c r="BE27" s="75"/>
      <c r="BF27" s="18"/>
      <c r="BG27" s="78">
        <v>23</v>
      </c>
      <c r="BH27" s="110">
        <f>AR27-1</f>
        <v>47</v>
      </c>
      <c r="BI27" s="79">
        <v>50</v>
      </c>
      <c r="BJ27" s="18"/>
      <c r="BK27" s="110">
        <f>AG27-1</f>
        <v>60</v>
      </c>
      <c r="BL27" s="79">
        <v>65</v>
      </c>
      <c r="BM27" s="18"/>
      <c r="BN27" s="110">
        <f>X27-1</f>
        <v>51</v>
      </c>
      <c r="BO27" s="75"/>
      <c r="BP27" s="18"/>
      <c r="BQ27" s="76"/>
      <c r="BR27" s="75"/>
      <c r="BS27" s="18"/>
      <c r="BT27" s="78">
        <v>23</v>
      </c>
      <c r="BU27" s="110">
        <f>AR27+2</f>
        <v>50</v>
      </c>
      <c r="BV27" s="79">
        <v>50</v>
      </c>
      <c r="BW27" s="18"/>
      <c r="BX27" s="110">
        <f>AG27+2</f>
        <v>63</v>
      </c>
      <c r="BY27" s="79">
        <v>65</v>
      </c>
      <c r="BZ27" s="18"/>
      <c r="CA27" s="110">
        <f>X27+2</f>
        <v>54</v>
      </c>
      <c r="CB27" s="75"/>
      <c r="CC27" s="18"/>
      <c r="CD27" s="76"/>
      <c r="CE27" s="75"/>
      <c r="CF27" s="18"/>
      <c r="CG27" s="78">
        <v>23</v>
      </c>
      <c r="CH27" s="110">
        <f>AR27+1</f>
        <v>49</v>
      </c>
      <c r="CI27" s="79">
        <v>50</v>
      </c>
      <c r="CJ27" s="18"/>
      <c r="CK27" s="110">
        <f>AG27+1</f>
        <v>62</v>
      </c>
      <c r="CL27" s="79">
        <v>65</v>
      </c>
      <c r="CM27" s="18"/>
      <c r="CN27" s="110">
        <f>X27+1</f>
        <v>53</v>
      </c>
      <c r="CO27" s="75"/>
      <c r="CP27" s="18"/>
      <c r="CQ27" s="76"/>
      <c r="CR27" s="75"/>
      <c r="CS27" s="18"/>
      <c r="CT27" s="78">
        <v>23</v>
      </c>
      <c r="CU27" s="79">
        <f>(AU27+AX27+BA27+BD27)/4</f>
        <v>40.25</v>
      </c>
      <c r="CV27" s="79">
        <f>(BH27+BK27+BN27+BQ27)/4</f>
        <v>39.5</v>
      </c>
      <c r="CW27" s="79">
        <f>(BU27+BX27+CA27+CD27)/4</f>
        <v>41.75</v>
      </c>
      <c r="CX27" s="79">
        <f>(CH27+CK27+CN27+CQ27)/4</f>
        <v>41</v>
      </c>
      <c r="CY27" s="18"/>
      <c r="CZ27" s="80">
        <f>SUM(CU27:CX27)/4</f>
        <v>40.625</v>
      </c>
      <c r="DA27" s="18"/>
      <c r="DB27" s="79">
        <f>CZ27*0.5</f>
        <v>20.3125</v>
      </c>
      <c r="DC27" s="75"/>
      <c r="DD27" s="79">
        <f>DC27*0.5</f>
        <v>0</v>
      </c>
      <c r="DE27" s="81">
        <f>DD27+DB27</f>
        <v>20.3125</v>
      </c>
      <c r="DF27" s="18"/>
      <c r="DG27" s="79">
        <f>CZ27*0.3</f>
        <v>12.1875</v>
      </c>
      <c r="DH27" s="75"/>
      <c r="DI27" s="79">
        <f>DH27*0.7</f>
        <v>0</v>
      </c>
      <c r="DJ27" s="81">
        <f>DI27+DG27</f>
        <v>12.1875</v>
      </c>
      <c r="DK27" s="250"/>
    </row>
    <row r="28" ht="24" customHeight="1">
      <c r="A28" s="255">
        <v>1</v>
      </c>
      <c r="B28" s="69">
        <v>24</v>
      </c>
      <c r="C28" t="s" s="70">
        <v>551</v>
      </c>
      <c r="D28" t="s" s="71">
        <v>552</v>
      </c>
      <c r="E28" t="s" s="72">
        <v>43</v>
      </c>
      <c r="F28" t="s" s="113">
        <v>43</v>
      </c>
      <c r="G28" t="s" s="72">
        <v>43</v>
      </c>
      <c r="H28" s="82"/>
      <c r="I28" t="s" s="72">
        <v>43</v>
      </c>
      <c r="J28" t="s" s="113">
        <v>43</v>
      </c>
      <c r="K28" t="s" s="210">
        <v>43</v>
      </c>
      <c r="L28" s="256">
        <v>10</v>
      </c>
      <c r="M28" s="222">
        <v>18</v>
      </c>
      <c r="N28" s="222">
        <v>8</v>
      </c>
      <c r="O28" s="222">
        <v>9</v>
      </c>
      <c r="P28" s="222">
        <v>10</v>
      </c>
      <c r="Q28" s="82"/>
      <c r="R28" s="79">
        <v>5</v>
      </c>
      <c r="S28" s="79">
        <v>7</v>
      </c>
      <c r="T28" s="79">
        <v>8</v>
      </c>
      <c r="U28" s="79">
        <v>9</v>
      </c>
      <c r="V28" s="79">
        <v>10</v>
      </c>
      <c r="W28" s="79">
        <v>2</v>
      </c>
      <c r="X28" s="163">
        <f>SUM(L28:W28)</f>
        <v>96</v>
      </c>
      <c r="Y28" s="82"/>
      <c r="Z28" s="79">
        <v>10</v>
      </c>
      <c r="AA28" s="110">
        <v>10</v>
      </c>
      <c r="AB28" s="79">
        <v>10</v>
      </c>
      <c r="AC28" s="110">
        <v>15</v>
      </c>
      <c r="AD28" s="79">
        <v>10</v>
      </c>
      <c r="AE28" s="110">
        <v>20</v>
      </c>
      <c r="AF28" s="79">
        <v>15</v>
      </c>
      <c r="AG28" s="111">
        <f>Z28+AA28+AB28+AE28+AF28+AC28+AD28</f>
        <v>90</v>
      </c>
      <c r="AH28" s="257"/>
      <c r="AI28" s="69">
        <v>24</v>
      </c>
      <c r="AJ28" s="110">
        <v>10</v>
      </c>
      <c r="AK28" s="79">
        <v>20</v>
      </c>
      <c r="AL28" s="110">
        <v>20</v>
      </c>
      <c r="AM28" s="79">
        <v>10</v>
      </c>
      <c r="AN28" s="79">
        <v>15</v>
      </c>
      <c r="AO28" s="110">
        <v>10</v>
      </c>
      <c r="AP28" s="79">
        <v>2</v>
      </c>
      <c r="AQ28" s="110">
        <v>10</v>
      </c>
      <c r="AR28" s="79">
        <f>SUM(AJ28:AQ28)</f>
        <v>97</v>
      </c>
      <c r="AS28" s="18"/>
      <c r="AT28" s="78">
        <v>24</v>
      </c>
      <c r="AU28" s="110">
        <f>AR28+0</f>
        <v>97</v>
      </c>
      <c r="AV28" s="75"/>
      <c r="AW28" s="18"/>
      <c r="AX28" s="110">
        <f>AG28</f>
        <v>90</v>
      </c>
      <c r="AY28" s="75"/>
      <c r="AZ28" s="18"/>
      <c r="BA28" s="110">
        <f>X28</f>
        <v>96</v>
      </c>
      <c r="BB28" s="75"/>
      <c r="BC28" s="18"/>
      <c r="BD28" s="76"/>
      <c r="BE28" s="75"/>
      <c r="BF28" s="18"/>
      <c r="BG28" s="78">
        <v>24</v>
      </c>
      <c r="BH28" s="110">
        <f>AR28-1</f>
        <v>96</v>
      </c>
      <c r="BI28" s="75"/>
      <c r="BJ28" s="18"/>
      <c r="BK28" s="110">
        <f>AG28-1</f>
        <v>89</v>
      </c>
      <c r="BL28" s="75"/>
      <c r="BM28" s="18"/>
      <c r="BN28" s="110">
        <f>X28-1</f>
        <v>95</v>
      </c>
      <c r="BO28" s="75"/>
      <c r="BP28" s="18"/>
      <c r="BQ28" s="76"/>
      <c r="BR28" s="75"/>
      <c r="BS28" s="18"/>
      <c r="BT28" s="78">
        <v>24</v>
      </c>
      <c r="BU28" s="110">
        <f>AR28+2</f>
        <v>99</v>
      </c>
      <c r="BV28" s="75"/>
      <c r="BW28" s="18"/>
      <c r="BX28" s="110">
        <f>AG28+2</f>
        <v>92</v>
      </c>
      <c r="BY28" s="75"/>
      <c r="BZ28" s="18"/>
      <c r="CA28" s="110">
        <f>X28+2</f>
        <v>98</v>
      </c>
      <c r="CB28" s="75"/>
      <c r="CC28" s="18"/>
      <c r="CD28" s="76"/>
      <c r="CE28" s="75"/>
      <c r="CF28" s="18"/>
      <c r="CG28" s="78">
        <v>24</v>
      </c>
      <c r="CH28" s="110">
        <f>AR28+1</f>
        <v>98</v>
      </c>
      <c r="CI28" s="75"/>
      <c r="CJ28" s="18"/>
      <c r="CK28" s="110">
        <f>AG28+1</f>
        <v>91</v>
      </c>
      <c r="CL28" s="75"/>
      <c r="CM28" s="18"/>
      <c r="CN28" s="110">
        <f>X28+1</f>
        <v>97</v>
      </c>
      <c r="CO28" s="75"/>
      <c r="CP28" s="18"/>
      <c r="CQ28" s="76"/>
      <c r="CR28" s="75"/>
      <c r="CS28" s="18"/>
      <c r="CT28" s="78">
        <v>24</v>
      </c>
      <c r="CU28" s="79">
        <f>(AU28+AX28+BA28+BD28)/4</f>
        <v>70.75</v>
      </c>
      <c r="CV28" s="79">
        <f>(BH28+BK28+BN28+BQ28)/4</f>
        <v>70</v>
      </c>
      <c r="CW28" s="79">
        <f>(BU28+BX28+CA28+CD28)/4</f>
        <v>72.25</v>
      </c>
      <c r="CX28" s="79">
        <f>(CH28+CK28+CN28+CQ28)/4</f>
        <v>71.5</v>
      </c>
      <c r="CY28" s="18"/>
      <c r="CZ28" s="80">
        <f>SUM(CU28:CX28)/4</f>
        <v>71.125</v>
      </c>
      <c r="DA28" s="18"/>
      <c r="DB28" s="79">
        <f>CZ28*0.5</f>
        <v>35.5625</v>
      </c>
      <c r="DC28" s="75"/>
      <c r="DD28" s="79">
        <f>DC28*0.5</f>
        <v>0</v>
      </c>
      <c r="DE28" s="81">
        <f>DD28+DB28</f>
        <v>35.5625</v>
      </c>
      <c r="DF28" s="18"/>
      <c r="DG28" s="79">
        <f>CZ28*0.3</f>
        <v>21.3375</v>
      </c>
      <c r="DH28" s="75"/>
      <c r="DI28" s="79">
        <f>DH28*0.7</f>
        <v>0</v>
      </c>
      <c r="DJ28" s="81">
        <f>DI28+DG28</f>
        <v>21.3375</v>
      </c>
      <c r="DK28" s="250"/>
    </row>
    <row r="29" ht="24" customHeight="1">
      <c r="A29" s="255">
        <v>1</v>
      </c>
      <c r="B29" s="69">
        <v>25</v>
      </c>
      <c r="C29" t="s" s="70">
        <v>553</v>
      </c>
      <c r="D29" t="s" s="71">
        <v>554</v>
      </c>
      <c r="E29" t="s" s="72">
        <v>161</v>
      </c>
      <c r="F29" t="s" s="113">
        <v>43</v>
      </c>
      <c r="G29" t="s" s="72">
        <v>43</v>
      </c>
      <c r="H29" s="82"/>
      <c r="I29" t="s" s="72">
        <v>43</v>
      </c>
      <c r="J29" t="s" s="113">
        <v>43</v>
      </c>
      <c r="K29" t="s" s="210">
        <v>161</v>
      </c>
      <c r="L29" s="256">
        <v>10</v>
      </c>
      <c r="M29" s="222">
        <v>19</v>
      </c>
      <c r="N29" s="222">
        <v>9</v>
      </c>
      <c r="O29" s="222">
        <v>9</v>
      </c>
      <c r="P29" s="222">
        <v>9</v>
      </c>
      <c r="Q29" s="82"/>
      <c r="R29" s="79">
        <v>0</v>
      </c>
      <c r="S29" s="79">
        <v>10</v>
      </c>
      <c r="T29" s="79">
        <v>9</v>
      </c>
      <c r="U29" s="79">
        <v>9</v>
      </c>
      <c r="V29" s="79">
        <v>10</v>
      </c>
      <c r="W29" s="79">
        <v>4</v>
      </c>
      <c r="X29" s="163">
        <f>SUM(L29:W29)</f>
        <v>98</v>
      </c>
      <c r="Y29" s="82"/>
      <c r="Z29" s="79">
        <v>10</v>
      </c>
      <c r="AA29" s="110">
        <v>10</v>
      </c>
      <c r="AB29" s="79">
        <v>10</v>
      </c>
      <c r="AC29" s="110">
        <v>20</v>
      </c>
      <c r="AD29" s="79">
        <v>15</v>
      </c>
      <c r="AE29" s="110">
        <v>20</v>
      </c>
      <c r="AF29" s="79">
        <v>15</v>
      </c>
      <c r="AG29" s="111">
        <f>Z29+AA29+AB29+AE29+AF29+AC29+AD29</f>
        <v>100</v>
      </c>
      <c r="AH29" s="257"/>
      <c r="AI29" s="69">
        <v>25</v>
      </c>
      <c r="AJ29" s="110">
        <v>10</v>
      </c>
      <c r="AK29" s="79">
        <v>20</v>
      </c>
      <c r="AL29" s="110">
        <v>20</v>
      </c>
      <c r="AM29" s="79">
        <v>10</v>
      </c>
      <c r="AN29" s="79">
        <v>15</v>
      </c>
      <c r="AO29" s="110">
        <v>10</v>
      </c>
      <c r="AP29" s="79">
        <v>5</v>
      </c>
      <c r="AQ29" s="110">
        <v>10</v>
      </c>
      <c r="AR29" s="79">
        <f>SUM(AJ29:AQ29)</f>
        <v>100</v>
      </c>
      <c r="AS29" s="18"/>
      <c r="AT29" s="78">
        <v>25</v>
      </c>
      <c r="AU29" s="110">
        <f>AR29+0</f>
        <v>100</v>
      </c>
      <c r="AV29" s="75"/>
      <c r="AW29" s="18"/>
      <c r="AX29" s="110">
        <f>AG29</f>
        <v>100</v>
      </c>
      <c r="AY29" s="75"/>
      <c r="AZ29" s="18"/>
      <c r="BA29" s="110">
        <f>X29</f>
        <v>98</v>
      </c>
      <c r="BB29" s="75"/>
      <c r="BC29" s="18"/>
      <c r="BD29" s="76"/>
      <c r="BE29" s="75"/>
      <c r="BF29" s="18"/>
      <c r="BG29" s="78">
        <v>25</v>
      </c>
      <c r="BH29" s="110">
        <f>AR29-1</f>
        <v>99</v>
      </c>
      <c r="BI29" s="75"/>
      <c r="BJ29" s="18"/>
      <c r="BK29" s="110">
        <f>AG29-1</f>
        <v>99</v>
      </c>
      <c r="BL29" s="75"/>
      <c r="BM29" s="18"/>
      <c r="BN29" s="110">
        <f>X29-1</f>
        <v>97</v>
      </c>
      <c r="BO29" s="75"/>
      <c r="BP29" s="18"/>
      <c r="BQ29" s="76"/>
      <c r="BR29" s="75"/>
      <c r="BS29" s="18"/>
      <c r="BT29" s="78">
        <v>25</v>
      </c>
      <c r="BU29" s="110">
        <v>100</v>
      </c>
      <c r="BV29" s="75"/>
      <c r="BW29" s="18"/>
      <c r="BX29" s="110">
        <v>100</v>
      </c>
      <c r="BY29" s="75"/>
      <c r="BZ29" s="18"/>
      <c r="CA29" s="110">
        <f>X29+2</f>
        <v>100</v>
      </c>
      <c r="CB29" s="75"/>
      <c r="CC29" s="18"/>
      <c r="CD29" s="76"/>
      <c r="CE29" s="75"/>
      <c r="CF29" s="18"/>
      <c r="CG29" s="78">
        <v>25</v>
      </c>
      <c r="CH29" s="110">
        <v>100</v>
      </c>
      <c r="CI29" s="75"/>
      <c r="CJ29" s="18"/>
      <c r="CK29" s="110">
        <f>AG29+1</f>
        <v>101</v>
      </c>
      <c r="CL29" s="75"/>
      <c r="CM29" s="18"/>
      <c r="CN29" s="110">
        <f>X29+1</f>
        <v>99</v>
      </c>
      <c r="CO29" s="75"/>
      <c r="CP29" s="18"/>
      <c r="CQ29" s="76"/>
      <c r="CR29" s="75"/>
      <c r="CS29" s="18"/>
      <c r="CT29" s="78">
        <v>25</v>
      </c>
      <c r="CU29" s="79">
        <f>(AU29+AX29+BA29+BD29)/4</f>
        <v>74.5</v>
      </c>
      <c r="CV29" s="79">
        <f>(BH29+BK29+BN29+BQ29)/4</f>
        <v>73.75</v>
      </c>
      <c r="CW29" s="79">
        <f>(BU29+BX29+CA29+CD29)/4</f>
        <v>75</v>
      </c>
      <c r="CX29" s="79">
        <f>(CH29+CK29+CN29+CQ29)/4</f>
        <v>75</v>
      </c>
      <c r="CY29" s="18"/>
      <c r="CZ29" s="80">
        <f>SUM(CU29:CX29)/4</f>
        <v>74.5625</v>
      </c>
      <c r="DA29" s="18"/>
      <c r="DB29" s="79">
        <f>CZ29*0.5</f>
        <v>37.28125</v>
      </c>
      <c r="DC29" s="75"/>
      <c r="DD29" s="79">
        <f>DC29*0.5</f>
        <v>0</v>
      </c>
      <c r="DE29" s="81">
        <f>DD29+DB29</f>
        <v>37.28125</v>
      </c>
      <c r="DF29" s="18"/>
      <c r="DG29" s="79">
        <f>CZ29*0.3</f>
        <v>22.36875</v>
      </c>
      <c r="DH29" s="75"/>
      <c r="DI29" s="79">
        <f>DH29*0.7</f>
        <v>0</v>
      </c>
      <c r="DJ29" s="81">
        <f>DI29+DG29</f>
        <v>22.36875</v>
      </c>
      <c r="DK29" s="250"/>
    </row>
    <row r="30" ht="23.25" customHeight="1">
      <c r="A30" s="68"/>
      <c r="B30" s="69">
        <v>26</v>
      </c>
      <c r="C30" t="s" s="70">
        <v>555</v>
      </c>
      <c r="D30" t="s" s="71">
        <v>556</v>
      </c>
      <c r="E30" t="s" s="72">
        <v>43</v>
      </c>
      <c r="F30" t="s" s="113">
        <v>43</v>
      </c>
      <c r="G30" t="s" s="72">
        <v>43</v>
      </c>
      <c r="H30" s="82"/>
      <c r="I30" t="s" s="72">
        <v>43</v>
      </c>
      <c r="J30" t="s" s="113">
        <v>43</v>
      </c>
      <c r="K30" t="s" s="210">
        <v>161</v>
      </c>
      <c r="L30" s="256">
        <v>10</v>
      </c>
      <c r="M30" s="222">
        <v>18</v>
      </c>
      <c r="N30" s="222">
        <v>8</v>
      </c>
      <c r="O30" s="222">
        <v>8</v>
      </c>
      <c r="P30" s="222">
        <v>9</v>
      </c>
      <c r="Q30" s="82"/>
      <c r="R30" s="79">
        <v>0</v>
      </c>
      <c r="S30" s="79">
        <v>0</v>
      </c>
      <c r="T30" s="79">
        <v>0</v>
      </c>
      <c r="U30" s="79">
        <v>0</v>
      </c>
      <c r="V30" s="79">
        <v>0</v>
      </c>
      <c r="W30" s="79">
        <v>2</v>
      </c>
      <c r="X30" s="163">
        <f>SUM(L30:W30)</f>
        <v>55</v>
      </c>
      <c r="Y30" s="82"/>
      <c r="Z30" s="79">
        <v>10</v>
      </c>
      <c r="AA30" s="110">
        <v>8</v>
      </c>
      <c r="AB30" s="79">
        <v>8</v>
      </c>
      <c r="AC30" s="110">
        <v>15</v>
      </c>
      <c r="AD30" s="79">
        <v>10</v>
      </c>
      <c r="AE30" s="110">
        <v>20</v>
      </c>
      <c r="AF30" s="79">
        <v>15</v>
      </c>
      <c r="AG30" s="138">
        <f>Z30+AA30+AB30+AE30+AF30+AC30+AD30</f>
        <v>86</v>
      </c>
      <c r="AH30" t="s" s="259">
        <v>557</v>
      </c>
      <c r="AI30" s="69">
        <v>26</v>
      </c>
      <c r="AJ30" s="123">
        <v>10</v>
      </c>
      <c r="AK30" s="123">
        <v>17</v>
      </c>
      <c r="AL30" s="123">
        <v>20</v>
      </c>
      <c r="AM30" s="123">
        <v>10</v>
      </c>
      <c r="AN30" s="123">
        <v>0</v>
      </c>
      <c r="AO30" s="123">
        <v>0</v>
      </c>
      <c r="AP30" s="123">
        <v>0</v>
      </c>
      <c r="AQ30" s="123">
        <v>10</v>
      </c>
      <c r="AR30" s="123">
        <f>SUM(AJ30:AQ30)</f>
        <v>67</v>
      </c>
      <c r="AS30" s="18"/>
      <c r="AT30" s="78">
        <v>26</v>
      </c>
      <c r="AU30" s="110">
        <f>AR30+0</f>
        <v>67</v>
      </c>
      <c r="AV30" s="79">
        <v>68</v>
      </c>
      <c r="AW30" s="18"/>
      <c r="AX30" s="110">
        <f>AG30</f>
        <v>86</v>
      </c>
      <c r="AY30" s="75"/>
      <c r="AZ30" s="18"/>
      <c r="BA30" s="110">
        <f>X30</f>
        <v>55</v>
      </c>
      <c r="BB30" s="75"/>
      <c r="BC30" s="18"/>
      <c r="BD30" s="76"/>
      <c r="BE30" s="75"/>
      <c r="BF30" s="18"/>
      <c r="BG30" s="78">
        <v>26</v>
      </c>
      <c r="BH30" s="110">
        <f>AR30-1</f>
        <v>66</v>
      </c>
      <c r="BI30" s="79">
        <v>68</v>
      </c>
      <c r="BJ30" s="18"/>
      <c r="BK30" s="110">
        <f>AG30-1</f>
        <v>85</v>
      </c>
      <c r="BL30" s="75"/>
      <c r="BM30" s="18"/>
      <c r="BN30" s="110">
        <f>X30-1</f>
        <v>54</v>
      </c>
      <c r="BO30" s="75"/>
      <c r="BP30" s="18"/>
      <c r="BQ30" s="76"/>
      <c r="BR30" s="75"/>
      <c r="BS30" s="18"/>
      <c r="BT30" s="78">
        <v>26</v>
      </c>
      <c r="BU30" s="110">
        <f>AR30+2</f>
        <v>69</v>
      </c>
      <c r="BV30" s="79">
        <v>69</v>
      </c>
      <c r="BW30" s="18"/>
      <c r="BX30" s="110">
        <f>AG30+2</f>
        <v>88</v>
      </c>
      <c r="BY30" s="75"/>
      <c r="BZ30" s="18"/>
      <c r="CA30" s="110">
        <f>X30+2</f>
        <v>57</v>
      </c>
      <c r="CB30" s="75"/>
      <c r="CC30" s="18"/>
      <c r="CD30" s="76"/>
      <c r="CE30" s="75"/>
      <c r="CF30" s="18"/>
      <c r="CG30" s="78">
        <v>26</v>
      </c>
      <c r="CH30" s="110">
        <f>AR30+1</f>
        <v>68</v>
      </c>
      <c r="CI30" s="79">
        <v>69</v>
      </c>
      <c r="CJ30" s="18"/>
      <c r="CK30" s="110">
        <f>AG30+1</f>
        <v>87</v>
      </c>
      <c r="CL30" s="75"/>
      <c r="CM30" s="18"/>
      <c r="CN30" s="110">
        <f>X30+1</f>
        <v>56</v>
      </c>
      <c r="CO30" s="75"/>
      <c r="CP30" s="18"/>
      <c r="CQ30" s="76"/>
      <c r="CR30" s="75"/>
      <c r="CS30" s="18"/>
      <c r="CT30" s="78">
        <v>26</v>
      </c>
      <c r="CU30" s="79">
        <f>(AU30+AX30+BA30+BD30)/4</f>
        <v>52</v>
      </c>
      <c r="CV30" s="79">
        <f>(BH30+BK30+BN30+BQ30)/4</f>
        <v>51.25</v>
      </c>
      <c r="CW30" s="79">
        <f>(BU30+BX30+CA30+CD30)/4</f>
        <v>53.5</v>
      </c>
      <c r="CX30" s="79">
        <f>(CH30+CK30+CN30+CQ30)/4</f>
        <v>52.75</v>
      </c>
      <c r="CY30" s="18"/>
      <c r="CZ30" s="80">
        <f>SUM(CU30:CX30)/4</f>
        <v>52.375</v>
      </c>
      <c r="DA30" s="18"/>
      <c r="DB30" s="79">
        <f>CZ30*0.5</f>
        <v>26.1875</v>
      </c>
      <c r="DC30" s="75"/>
      <c r="DD30" s="79">
        <f>DC30*0.5</f>
        <v>0</v>
      </c>
      <c r="DE30" s="81">
        <f>DD30+DB30</f>
        <v>26.1875</v>
      </c>
      <c r="DF30" s="18"/>
      <c r="DG30" s="79">
        <f>CZ30*0.3</f>
        <v>15.7125</v>
      </c>
      <c r="DH30" s="75"/>
      <c r="DI30" s="79">
        <f>DH30*0.7</f>
        <v>0</v>
      </c>
      <c r="DJ30" s="81">
        <f>DI30+DG30</f>
        <v>15.7125</v>
      </c>
      <c r="DK30" s="250"/>
    </row>
    <row r="31" ht="15" customHeight="1">
      <c r="A31" s="188"/>
      <c r="B31" s="11"/>
      <c r="C31" t="s" s="182">
        <v>558</v>
      </c>
      <c r="D31" s="11"/>
      <c r="E31" s="11"/>
      <c r="F31" s="147"/>
      <c r="G31" s="11"/>
      <c r="H31" s="147"/>
      <c r="I31" s="11"/>
      <c r="J31" s="147"/>
      <c r="K31" s="23"/>
      <c r="L31" s="23"/>
      <c r="M31" s="147"/>
      <c r="N31" s="147"/>
      <c r="O31" s="147"/>
      <c r="P31" s="147"/>
      <c r="Q31" s="147"/>
      <c r="R31" s="11"/>
      <c r="S31" s="11"/>
      <c r="T31" s="11"/>
      <c r="U31" s="11"/>
      <c r="V31" s="11"/>
      <c r="W31" s="11"/>
      <c r="X31" s="11"/>
      <c r="Y31" s="147"/>
      <c r="Z31" s="11"/>
      <c r="AA31" s="11"/>
      <c r="AB31" s="11"/>
      <c r="AC31" s="11"/>
      <c r="AD31" s="11"/>
      <c r="AE31" s="11"/>
      <c r="AF31" s="11"/>
      <c r="AG31" s="11"/>
      <c r="AH31" s="11"/>
      <c r="AI31" s="11"/>
      <c r="AJ31" s="11"/>
      <c r="AK31" s="11"/>
      <c r="AL31" s="11"/>
      <c r="AM31" s="11"/>
      <c r="AN31" s="11"/>
      <c r="AO31" s="11"/>
      <c r="AP31" s="11"/>
      <c r="AQ31" s="11"/>
      <c r="AR31" s="11"/>
      <c r="AS31" s="23"/>
      <c r="AT31" s="11"/>
      <c r="AU31" s="11"/>
      <c r="AV31" s="11"/>
      <c r="AW31" s="23"/>
      <c r="AX31" s="11"/>
      <c r="AY31" s="11"/>
      <c r="AZ31" s="23"/>
      <c r="BA31" s="11"/>
      <c r="BB31" s="11"/>
      <c r="BC31" s="23"/>
      <c r="BD31" s="11"/>
      <c r="BE31" s="11"/>
      <c r="BF31" s="23"/>
      <c r="BG31" s="11"/>
      <c r="BH31" s="11"/>
      <c r="BI31" s="11"/>
      <c r="BJ31" s="23"/>
      <c r="BK31" s="11"/>
      <c r="BL31" s="11"/>
      <c r="BM31" s="23"/>
      <c r="BN31" s="11"/>
      <c r="BO31" s="11"/>
      <c r="BP31" s="23"/>
      <c r="BQ31" s="11"/>
      <c r="BR31" s="11"/>
      <c r="BS31" s="23"/>
      <c r="BT31" s="11"/>
      <c r="BU31" s="11"/>
      <c r="BV31" s="11"/>
      <c r="BW31" s="23"/>
      <c r="BX31" s="11"/>
      <c r="BY31" s="11"/>
      <c r="BZ31" s="23"/>
      <c r="CA31" s="11"/>
      <c r="CB31" s="11"/>
      <c r="CC31" s="23"/>
      <c r="CD31" s="11"/>
      <c r="CE31" s="11"/>
      <c r="CF31" s="23"/>
      <c r="CG31" s="11"/>
      <c r="CH31" s="11"/>
      <c r="CI31" s="11"/>
      <c r="CJ31" s="23"/>
      <c r="CK31" s="11"/>
      <c r="CL31" s="11"/>
      <c r="CM31" s="23"/>
      <c r="CN31" s="11"/>
      <c r="CO31" s="11"/>
      <c r="CP31" s="23"/>
      <c r="CQ31" s="11"/>
      <c r="CR31" s="11"/>
      <c r="CS31" s="23"/>
      <c r="CT31" s="11"/>
      <c r="CU31" s="11"/>
      <c r="CV31" s="11"/>
      <c r="CW31" s="11"/>
      <c r="CX31" s="11"/>
      <c r="CY31" s="23"/>
      <c r="CZ31" s="11"/>
      <c r="DA31" s="23"/>
      <c r="DB31" s="11"/>
      <c r="DC31" s="11"/>
      <c r="DD31" s="11"/>
      <c r="DE31" s="11"/>
      <c r="DF31" s="23"/>
      <c r="DG31" s="11"/>
      <c r="DH31" s="11"/>
      <c r="DI31" s="11"/>
      <c r="DJ31" s="11"/>
      <c r="DK31" s="156"/>
    </row>
    <row r="32" ht="15" customHeight="1">
      <c r="A32" s="146"/>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c r="DK32" s="156"/>
    </row>
    <row r="33" ht="15" customHeight="1">
      <c r="A33" s="146"/>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156"/>
    </row>
    <row r="34" ht="15" customHeight="1">
      <c r="A34" s="146"/>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156"/>
    </row>
    <row r="35" ht="15" customHeight="1">
      <c r="A35" s="146"/>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156"/>
    </row>
    <row r="36" ht="15" customHeight="1">
      <c r="A36" s="146"/>
      <c r="B36" s="23"/>
      <c r="C36" s="154">
        <v>400</v>
      </c>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156"/>
    </row>
    <row r="37" ht="15" customHeight="1">
      <c r="A37" s="146"/>
      <c r="B37" s="23"/>
      <c r="C37" s="154">
        <v>7</v>
      </c>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156"/>
    </row>
    <row r="38" ht="15" customHeight="1">
      <c r="A38" s="146"/>
      <c r="B38" s="23"/>
      <c r="C38" s="154">
        <f>C36*C37</f>
        <v>2800</v>
      </c>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156"/>
    </row>
    <row r="39" ht="15" customHeight="1">
      <c r="A39" s="146"/>
      <c r="B39" s="23"/>
      <c r="C39" s="154">
        <v>4</v>
      </c>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156"/>
    </row>
    <row r="40" ht="15" customHeight="1">
      <c r="A40" s="146"/>
      <c r="B40" s="23"/>
      <c r="C40" s="154">
        <f>C38/C39</f>
        <v>700</v>
      </c>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156"/>
    </row>
    <row r="41" ht="15" customHeight="1">
      <c r="A41" s="146"/>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156"/>
    </row>
    <row r="42" ht="15" customHeight="1">
      <c r="A42" s="146"/>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156"/>
    </row>
    <row r="43" ht="15" customHeight="1">
      <c r="A43" s="146"/>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156"/>
    </row>
    <row r="44" ht="15" customHeight="1">
      <c r="A44" s="146"/>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156"/>
    </row>
    <row r="45" ht="15" customHeight="1">
      <c r="A45" s="146"/>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156"/>
    </row>
    <row r="46" ht="15" customHeight="1">
      <c r="A46" s="146"/>
      <c r="B46" s="23"/>
      <c r="C46" t="s" s="191">
        <v>559</v>
      </c>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156"/>
    </row>
    <row r="47" ht="15" customHeight="1">
      <c r="A47" s="146"/>
      <c r="B47" s="23"/>
      <c r="C47" s="24"/>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156"/>
    </row>
    <row r="48" ht="15" customHeight="1">
      <c r="A48" s="146"/>
      <c r="B48" s="25"/>
      <c r="C48" t="s" s="70">
        <v>560</v>
      </c>
      <c r="D48" s="28"/>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4"/>
      <c r="AI48" s="24"/>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156"/>
    </row>
    <row r="49" ht="15" customHeight="1">
      <c r="A49" s="85"/>
      <c r="B49" s="263"/>
      <c r="C49" t="s" s="70">
        <v>561</v>
      </c>
      <c r="D49" s="15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135"/>
      <c r="AI49" s="135"/>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159"/>
    </row>
  </sheetData>
  <mergeCells count="22">
    <mergeCell ref="DI3:DI4"/>
    <mergeCell ref="DJ3:DJ4"/>
    <mergeCell ref="DG2:DJ2"/>
    <mergeCell ref="AU3:BE3"/>
    <mergeCell ref="BH3:BR3"/>
    <mergeCell ref="BU3:CE3"/>
    <mergeCell ref="CH3:CR3"/>
    <mergeCell ref="CU3:CU4"/>
    <mergeCell ref="CV3:CV4"/>
    <mergeCell ref="CW3:CW4"/>
    <mergeCell ref="CX3:CX4"/>
    <mergeCell ref="CZ3:CZ4"/>
    <mergeCell ref="DB3:DB4"/>
    <mergeCell ref="DC3:DC4"/>
    <mergeCell ref="DD3:DD4"/>
    <mergeCell ref="DE3:DE4"/>
    <mergeCell ref="DG3:DG4"/>
    <mergeCell ref="DH3:DH4"/>
    <mergeCell ref="E1:AG1"/>
    <mergeCell ref="AJ2:AR2"/>
    <mergeCell ref="CU2:CX2"/>
    <mergeCell ref="DB2:DE2"/>
  </mergeCells>
  <pageMargins left="0.7" right="0.7" top="0.75" bottom="0.75" header="0.3" footer="0.3"/>
  <pageSetup firstPageNumber="1" fitToHeight="1" fitToWidth="1" scale="100" useFirstPageNumber="0" orientation="landscape"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dimension ref="A1:DJ48"/>
  <sheetViews>
    <sheetView workbookViewId="0" showGridLines="0" defaultGridColor="1"/>
  </sheetViews>
  <sheetFormatPr defaultColWidth="10.8333" defaultRowHeight="15" customHeight="1" outlineLevelRow="0" outlineLevelCol="0"/>
  <cols>
    <col min="1" max="1" width="10.8516" style="264" customWidth="1"/>
    <col min="2" max="2" width="4" style="264" customWidth="1"/>
    <col min="3" max="3" width="25.6719" style="264" customWidth="1"/>
    <col min="4" max="4" width="18.8516" style="264" customWidth="1"/>
    <col min="5" max="5" width="3" style="264" customWidth="1"/>
    <col min="6" max="6" width="5.67188" style="264" customWidth="1"/>
    <col min="7" max="10" width="3" style="264" customWidth="1"/>
    <col min="11" max="16" width="4.67188" style="264" customWidth="1"/>
    <col min="17" max="17" width="5.67188" style="264" customWidth="1"/>
    <col min="18" max="18" width="6.10156" style="264" customWidth="1"/>
    <col min="19" max="19" width="6.75781" style="264" customWidth="1"/>
    <col min="20" max="23" width="4.67188" style="264" customWidth="1"/>
    <col min="24" max="24" width="4.08594" style="264" customWidth="1"/>
    <col min="25" max="25" width="4.17188" style="264" customWidth="1"/>
    <col min="26" max="26" width="3" style="264" customWidth="1"/>
    <col min="27" max="27" width="4.77344" style="264" customWidth="1"/>
    <col min="28" max="28" width="5.35156" style="264" customWidth="1"/>
    <col min="29" max="29" width="3" style="264" customWidth="1"/>
    <col min="30" max="30" width="4.55469" style="264" customWidth="1"/>
    <col min="31" max="32" width="3" style="264" customWidth="1"/>
    <col min="33" max="33" width="4.17188" style="264" customWidth="1"/>
    <col min="34" max="35" width="11.1016" style="264" customWidth="1"/>
    <col min="36" max="45" width="5.17188" style="264" customWidth="1"/>
    <col min="46" max="46" width="3.5" style="264" customWidth="1"/>
    <col min="47" max="47" width="5.67188" style="264" customWidth="1"/>
    <col min="48" max="48" width="5.5" style="264" customWidth="1"/>
    <col min="49" max="49" width="1.5" style="264" customWidth="1"/>
    <col min="50" max="51" width="5.35156" style="264" customWidth="1"/>
    <col min="52" max="52" width="1.5" style="264" customWidth="1"/>
    <col min="53" max="54" width="5.17188" style="264" customWidth="1"/>
    <col min="55" max="55" width="1.5" style="264" customWidth="1"/>
    <col min="56" max="58" width="4.5" style="264" customWidth="1"/>
    <col min="59" max="59" width="5" style="264" customWidth="1"/>
    <col min="60" max="60" width="5.67188" style="264" customWidth="1"/>
    <col min="61" max="61" width="5.5" style="264" customWidth="1"/>
    <col min="62" max="62" width="1.5" style="264" customWidth="1"/>
    <col min="63" max="64" width="5.35156" style="264" customWidth="1"/>
    <col min="65" max="65" width="1.5" style="264" customWidth="1"/>
    <col min="66" max="67" width="5.17188" style="264" customWidth="1"/>
    <col min="68" max="68" width="1.5" style="264" customWidth="1"/>
    <col min="69" max="72" width="4.5" style="264" customWidth="1"/>
    <col min="73" max="73" width="5.67188" style="264" customWidth="1"/>
    <col min="74" max="74" width="5.5" style="264" customWidth="1"/>
    <col min="75" max="75" width="1.5" style="264" customWidth="1"/>
    <col min="76" max="77" width="5.35156" style="264" customWidth="1"/>
    <col min="78" max="78" width="1.5" style="264" customWidth="1"/>
    <col min="79" max="80" width="5.17188" style="264" customWidth="1"/>
    <col min="81" max="81" width="1.5" style="264" customWidth="1"/>
    <col min="82" max="84" width="4.5" style="264" customWidth="1"/>
    <col min="85" max="85" width="4" style="264" customWidth="1"/>
    <col min="86" max="86" width="5.67188" style="264" customWidth="1"/>
    <col min="87" max="87" width="5.5" style="264" customWidth="1"/>
    <col min="88" max="88" width="1.5" style="264" customWidth="1"/>
    <col min="89" max="90" width="5.35156" style="264" customWidth="1"/>
    <col min="91" max="91" width="1.5" style="264" customWidth="1"/>
    <col min="92" max="93" width="5.17188" style="264" customWidth="1"/>
    <col min="94" max="94" width="1.5" style="264" customWidth="1"/>
    <col min="95" max="97" width="4.5" style="264" customWidth="1"/>
    <col min="98" max="98" width="4" style="264" customWidth="1"/>
    <col min="99" max="102" width="6.5" style="264" customWidth="1"/>
    <col min="103" max="103" width="5.17188" style="264" customWidth="1"/>
    <col min="104" max="104" width="5.67188" style="264" customWidth="1"/>
    <col min="105" max="105" width="2.5" style="264" customWidth="1"/>
    <col min="106" max="109" width="5.17188" style="264" customWidth="1"/>
    <col min="110" max="110" width="2.85156" style="264" customWidth="1"/>
    <col min="111" max="114" width="4.67188" style="264" customWidth="1"/>
    <col min="115" max="16384" width="10.8516" style="264" customWidth="1"/>
  </cols>
  <sheetData>
    <row r="1" ht="13.5" customHeight="1">
      <c r="A1" s="7"/>
      <c r="B1" s="8">
        <v>29</v>
      </c>
      <c r="C1" s="7"/>
      <c r="D1" s="7"/>
      <c r="E1" t="s" s="9">
        <v>6</v>
      </c>
      <c r="F1" s="10"/>
      <c r="G1" s="10"/>
      <c r="H1" s="10"/>
      <c r="I1" s="10"/>
      <c r="J1" s="10"/>
      <c r="K1" s="12"/>
      <c r="L1" s="12"/>
      <c r="M1" s="12"/>
      <c r="N1" s="12"/>
      <c r="O1" s="12"/>
      <c r="P1" s="12"/>
      <c r="Q1" s="12"/>
      <c r="R1" s="12"/>
      <c r="S1" s="12"/>
      <c r="T1" s="12"/>
      <c r="U1" s="12"/>
      <c r="V1" s="12"/>
      <c r="W1" s="12"/>
      <c r="X1" s="10"/>
      <c r="Y1" s="10"/>
      <c r="Z1" s="12"/>
      <c r="AA1" s="10"/>
      <c r="AB1" s="10"/>
      <c r="AC1" s="10"/>
      <c r="AD1" s="10"/>
      <c r="AE1" s="10"/>
      <c r="AF1" s="12"/>
      <c r="AG1" s="10"/>
      <c r="AH1" s="11"/>
      <c r="AI1" s="11"/>
      <c r="AJ1" s="12"/>
      <c r="AK1" s="12"/>
      <c r="AL1" s="12"/>
      <c r="AM1" s="12"/>
      <c r="AN1" s="12"/>
      <c r="AO1" s="12"/>
      <c r="AP1" s="12"/>
      <c r="AQ1" s="12"/>
      <c r="AR1" s="12"/>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2"/>
      <c r="CV1" s="12"/>
      <c r="CW1" s="12"/>
      <c r="CX1" s="12"/>
      <c r="CY1" s="13"/>
      <c r="CZ1" s="13"/>
      <c r="DA1" s="13"/>
      <c r="DB1" s="12"/>
      <c r="DC1" s="12"/>
      <c r="DD1" s="12"/>
      <c r="DE1" s="12"/>
      <c r="DF1" s="13"/>
      <c r="DG1" s="12"/>
      <c r="DH1" s="12"/>
      <c r="DI1" s="12"/>
      <c r="DJ1" s="14"/>
    </row>
    <row r="2" ht="26.25" customHeight="1">
      <c r="A2" s="7"/>
      <c r="B2" s="15"/>
      <c r="C2" s="7"/>
      <c r="D2" s="93"/>
      <c r="E2" s="79">
        <v>1</v>
      </c>
      <c r="F2" s="79">
        <v>2</v>
      </c>
      <c r="G2" s="79">
        <v>3</v>
      </c>
      <c r="H2" s="79">
        <v>4</v>
      </c>
      <c r="I2" s="79">
        <v>5</v>
      </c>
      <c r="J2" s="79">
        <v>6</v>
      </c>
      <c r="K2" s="75"/>
      <c r="L2" s="75"/>
      <c r="M2" s="75"/>
      <c r="N2" s="75"/>
      <c r="O2" s="75"/>
      <c r="P2" s="75"/>
      <c r="Q2" s="75"/>
      <c r="R2" s="75"/>
      <c r="S2" s="75"/>
      <c r="T2" s="75"/>
      <c r="U2" s="75"/>
      <c r="V2" s="75"/>
      <c r="W2" s="75"/>
      <c r="X2" s="79">
        <v>7</v>
      </c>
      <c r="Y2" s="79">
        <v>8</v>
      </c>
      <c r="Z2" s="75"/>
      <c r="AA2" s="79">
        <v>9</v>
      </c>
      <c r="AB2" s="79">
        <v>10</v>
      </c>
      <c r="AC2" s="79">
        <v>11</v>
      </c>
      <c r="AD2" s="79">
        <v>12</v>
      </c>
      <c r="AE2" s="79">
        <v>13</v>
      </c>
      <c r="AF2" s="75"/>
      <c r="AG2" s="79">
        <v>14</v>
      </c>
      <c r="AH2" s="18"/>
      <c r="AI2" s="18"/>
      <c r="AJ2" t="s" s="19">
        <v>7</v>
      </c>
      <c r="AK2" s="20"/>
      <c r="AL2" s="20"/>
      <c r="AM2" s="20"/>
      <c r="AN2" s="20"/>
      <c r="AO2" s="20"/>
      <c r="AP2" s="20"/>
      <c r="AQ2" s="20"/>
      <c r="AR2" s="21"/>
      <c r="AS2" s="22"/>
      <c r="AT2" s="23"/>
      <c r="AU2" s="24"/>
      <c r="AV2" s="24"/>
      <c r="AW2" s="24"/>
      <c r="AX2" s="24"/>
      <c r="AY2" s="24"/>
      <c r="AZ2" s="24"/>
      <c r="BA2" s="24"/>
      <c r="BB2" s="24"/>
      <c r="BC2" s="24"/>
      <c r="BD2" s="24"/>
      <c r="BE2" s="24"/>
      <c r="BF2" s="23"/>
      <c r="BG2" s="23"/>
      <c r="BH2" s="24"/>
      <c r="BI2" s="24"/>
      <c r="BJ2" s="24"/>
      <c r="BK2" s="24"/>
      <c r="BL2" s="24"/>
      <c r="BM2" s="24"/>
      <c r="BN2" s="24"/>
      <c r="BO2" s="24"/>
      <c r="BP2" s="24"/>
      <c r="BQ2" s="24"/>
      <c r="BR2" s="24"/>
      <c r="BS2" s="23"/>
      <c r="BT2" s="23"/>
      <c r="BU2" s="24"/>
      <c r="BV2" s="24"/>
      <c r="BW2" s="24"/>
      <c r="BX2" s="24"/>
      <c r="BY2" s="24"/>
      <c r="BZ2" s="24"/>
      <c r="CA2" s="24"/>
      <c r="CB2" s="24"/>
      <c r="CC2" s="24"/>
      <c r="CD2" s="24"/>
      <c r="CE2" s="24"/>
      <c r="CF2" s="23"/>
      <c r="CG2" s="23"/>
      <c r="CH2" s="24"/>
      <c r="CI2" s="24"/>
      <c r="CJ2" s="24"/>
      <c r="CK2" s="24"/>
      <c r="CL2" s="24"/>
      <c r="CM2" s="24"/>
      <c r="CN2" s="24"/>
      <c r="CO2" s="24"/>
      <c r="CP2" s="24"/>
      <c r="CQ2" s="24"/>
      <c r="CR2" s="24"/>
      <c r="CS2" s="23"/>
      <c r="CT2" s="25"/>
      <c r="CU2" t="s" s="26">
        <v>8</v>
      </c>
      <c r="CV2" s="27"/>
      <c r="CW2" s="27"/>
      <c r="CX2" s="27"/>
      <c r="CY2" s="28"/>
      <c r="CZ2" s="24"/>
      <c r="DA2" s="25"/>
      <c r="DB2" t="s" s="29">
        <v>9</v>
      </c>
      <c r="DC2" s="30"/>
      <c r="DD2" s="30"/>
      <c r="DE2" s="30"/>
      <c r="DF2" s="18"/>
      <c r="DG2" t="s" s="29">
        <v>10</v>
      </c>
      <c r="DH2" s="30"/>
      <c r="DI2" s="30"/>
      <c r="DJ2" s="30"/>
    </row>
    <row r="3" ht="51" customHeight="1">
      <c r="A3" s="105"/>
      <c r="B3" s="265"/>
      <c r="C3" t="s" s="33">
        <v>134</v>
      </c>
      <c r="D3" s="266"/>
      <c r="E3" s="35"/>
      <c r="F3" s="100">
        <v>45960</v>
      </c>
      <c r="G3" s="35"/>
      <c r="H3" t="s" s="36">
        <v>563</v>
      </c>
      <c r="I3" s="98">
        <v>45962</v>
      </c>
      <c r="J3" s="108">
        <v>27</v>
      </c>
      <c r="K3" s="35"/>
      <c r="L3" s="35"/>
      <c r="M3" s="35"/>
      <c r="N3" s="35"/>
      <c r="O3" s="35"/>
      <c r="P3" s="35"/>
      <c r="Q3" s="35"/>
      <c r="R3" s="35"/>
      <c r="S3" s="35"/>
      <c r="T3" s="35"/>
      <c r="U3" s="35"/>
      <c r="V3" s="35"/>
      <c r="W3" t="s" s="36">
        <v>142</v>
      </c>
      <c r="X3" t="s" s="36">
        <v>564</v>
      </c>
      <c r="Y3" t="s" s="36">
        <v>137</v>
      </c>
      <c r="Z3" t="s" s="36">
        <v>138</v>
      </c>
      <c r="AA3" t="s" s="36">
        <v>565</v>
      </c>
      <c r="AB3" t="s" s="36">
        <v>140</v>
      </c>
      <c r="AC3" t="s" s="36">
        <v>566</v>
      </c>
      <c r="AD3" t="s" s="83">
        <v>279</v>
      </c>
      <c r="AE3" t="s" s="36">
        <v>567</v>
      </c>
      <c r="AF3" s="35"/>
      <c r="AG3" s="35"/>
      <c r="AH3" s="18"/>
      <c r="AI3" s="18"/>
      <c r="AJ3" t="s" s="36">
        <v>142</v>
      </c>
      <c r="AK3" t="s" s="36">
        <v>140</v>
      </c>
      <c r="AL3" t="s" s="36">
        <v>144</v>
      </c>
      <c r="AM3" t="s" s="36">
        <v>145</v>
      </c>
      <c r="AN3" t="s" s="36">
        <v>146</v>
      </c>
      <c r="AO3" t="s" s="36">
        <v>147</v>
      </c>
      <c r="AP3" t="s" s="61">
        <v>568</v>
      </c>
      <c r="AQ3" s="35"/>
      <c r="AR3" t="s" s="36">
        <v>12</v>
      </c>
      <c r="AS3" s="37"/>
      <c r="AT3" s="25"/>
      <c r="AU3" t="s" s="38">
        <v>13</v>
      </c>
      <c r="AV3" s="39"/>
      <c r="AW3" s="39"/>
      <c r="AX3" s="39"/>
      <c r="AY3" s="39"/>
      <c r="AZ3" s="39"/>
      <c r="BA3" s="39"/>
      <c r="BB3" s="39"/>
      <c r="BC3" s="39"/>
      <c r="BD3" s="39"/>
      <c r="BE3" s="40"/>
      <c r="BF3" s="28"/>
      <c r="BG3" s="25"/>
      <c r="BH3" t="s" s="41">
        <v>14</v>
      </c>
      <c r="BI3" s="42"/>
      <c r="BJ3" s="42"/>
      <c r="BK3" s="42"/>
      <c r="BL3" s="42"/>
      <c r="BM3" s="42"/>
      <c r="BN3" s="42"/>
      <c r="BO3" s="42"/>
      <c r="BP3" s="42"/>
      <c r="BQ3" s="42"/>
      <c r="BR3" s="43"/>
      <c r="BS3" s="44"/>
      <c r="BT3" s="25"/>
      <c r="BU3" t="s" s="45">
        <v>15</v>
      </c>
      <c r="BV3" s="46"/>
      <c r="BW3" s="46"/>
      <c r="BX3" s="46"/>
      <c r="BY3" s="46"/>
      <c r="BZ3" s="46"/>
      <c r="CA3" s="46"/>
      <c r="CB3" s="46"/>
      <c r="CC3" s="46"/>
      <c r="CD3" s="46"/>
      <c r="CE3" s="47"/>
      <c r="CF3" s="44"/>
      <c r="CG3" s="25"/>
      <c r="CH3" t="s" s="48">
        <v>16</v>
      </c>
      <c r="CI3" s="49"/>
      <c r="CJ3" s="49"/>
      <c r="CK3" s="49"/>
      <c r="CL3" s="49"/>
      <c r="CM3" s="49"/>
      <c r="CN3" s="49"/>
      <c r="CO3" s="49"/>
      <c r="CP3" s="49"/>
      <c r="CQ3" s="49"/>
      <c r="CR3" s="50"/>
      <c r="CS3" s="44"/>
      <c r="CT3" s="25"/>
      <c r="CU3" t="s" s="51">
        <v>17</v>
      </c>
      <c r="CV3" t="s" s="51">
        <v>18</v>
      </c>
      <c r="CW3" t="s" s="51">
        <v>19</v>
      </c>
      <c r="CX3" t="s" s="51">
        <v>20</v>
      </c>
      <c r="CY3" s="18"/>
      <c r="CZ3" t="s" s="52">
        <v>21</v>
      </c>
      <c r="DA3" s="18"/>
      <c r="DB3" t="s" s="53">
        <v>22</v>
      </c>
      <c r="DC3" t="s" s="53">
        <v>23</v>
      </c>
      <c r="DD3" t="s" s="53">
        <v>24</v>
      </c>
      <c r="DE3" t="s" s="53">
        <v>25</v>
      </c>
      <c r="DF3" s="18"/>
      <c r="DG3" t="s" s="53">
        <v>26</v>
      </c>
      <c r="DH3" t="s" s="53">
        <v>27</v>
      </c>
      <c r="DI3" t="s" s="53">
        <v>28</v>
      </c>
      <c r="DJ3" t="s" s="53">
        <v>29</v>
      </c>
    </row>
    <row r="4" ht="13.5" customHeight="1">
      <c r="A4" s="68"/>
      <c r="B4" t="s" s="55">
        <v>30</v>
      </c>
      <c r="C4" t="s" s="55">
        <v>31</v>
      </c>
      <c r="D4" t="s" s="55">
        <v>32</v>
      </c>
      <c r="E4" s="56"/>
      <c r="F4" t="s" s="57">
        <v>569</v>
      </c>
      <c r="G4" s="56"/>
      <c r="H4" s="57"/>
      <c r="I4" t="s" s="56">
        <v>570</v>
      </c>
      <c r="J4" t="s" s="57">
        <v>571</v>
      </c>
      <c r="K4" s="104">
        <v>46058</v>
      </c>
      <c r="L4" s="267">
        <v>19</v>
      </c>
      <c r="M4" s="268"/>
      <c r="N4" t="s" s="269">
        <v>140</v>
      </c>
      <c r="O4" t="s" s="269">
        <v>141</v>
      </c>
      <c r="P4" t="s" s="270">
        <v>572</v>
      </c>
      <c r="Q4" t="s" s="61">
        <v>573</v>
      </c>
      <c r="R4" t="s" s="61">
        <v>574</v>
      </c>
      <c r="S4" t="s" s="61">
        <v>575</v>
      </c>
      <c r="T4" s="58"/>
      <c r="U4" s="58"/>
      <c r="V4" s="58"/>
      <c r="W4" s="77">
        <v>10</v>
      </c>
      <c r="X4" s="77">
        <v>10</v>
      </c>
      <c r="Y4" s="77">
        <v>10</v>
      </c>
      <c r="Z4" s="77">
        <v>10</v>
      </c>
      <c r="AA4" s="77">
        <v>10</v>
      </c>
      <c r="AB4" s="77">
        <v>10</v>
      </c>
      <c r="AC4" s="77">
        <v>20</v>
      </c>
      <c r="AD4" s="77">
        <v>5</v>
      </c>
      <c r="AE4" s="77">
        <v>5</v>
      </c>
      <c r="AF4" s="110">
        <v>10</v>
      </c>
      <c r="AG4" s="111">
        <f>W4+X4+Y4+Z4+AA4+AB4+AC4+AD4+AE4+AF4</f>
        <v>100</v>
      </c>
      <c r="AH4" s="207"/>
      <c r="AI4" s="207"/>
      <c r="AJ4" s="58"/>
      <c r="AK4" s="58"/>
      <c r="AL4" s="58"/>
      <c r="AM4" s="58"/>
      <c r="AN4" s="58"/>
      <c r="AO4" s="58"/>
      <c r="AP4" s="77">
        <v>10</v>
      </c>
      <c r="AQ4" s="58"/>
      <c r="AR4" s="58"/>
      <c r="AS4" t="s" s="210">
        <v>576</v>
      </c>
      <c r="AT4" s="60"/>
      <c r="AU4" t="s" s="61">
        <v>33</v>
      </c>
      <c r="AV4" t="s" s="62">
        <v>34</v>
      </c>
      <c r="AW4" s="63"/>
      <c r="AX4" t="s" s="61">
        <v>35</v>
      </c>
      <c r="AY4" t="s" s="62">
        <v>36</v>
      </c>
      <c r="AZ4" s="63"/>
      <c r="BA4" t="s" s="61">
        <v>37</v>
      </c>
      <c r="BB4" t="s" s="62">
        <v>38</v>
      </c>
      <c r="BC4" s="63"/>
      <c r="BD4" t="s" s="61">
        <v>39</v>
      </c>
      <c r="BE4" t="s" s="62">
        <v>40</v>
      </c>
      <c r="BF4" s="28"/>
      <c r="BG4" s="60"/>
      <c r="BH4" t="s" s="61">
        <v>33</v>
      </c>
      <c r="BI4" t="s" s="62">
        <v>34</v>
      </c>
      <c r="BJ4" s="63"/>
      <c r="BK4" t="s" s="61">
        <v>35</v>
      </c>
      <c r="BL4" t="s" s="62">
        <v>36</v>
      </c>
      <c r="BM4" s="63"/>
      <c r="BN4" t="s" s="61">
        <v>37</v>
      </c>
      <c r="BO4" t="s" s="62">
        <v>38</v>
      </c>
      <c r="BP4" s="63"/>
      <c r="BQ4" t="s" s="61">
        <v>39</v>
      </c>
      <c r="BR4" t="s" s="62">
        <v>40</v>
      </c>
      <c r="BS4" s="28"/>
      <c r="BT4" s="60"/>
      <c r="BU4" t="s" s="61">
        <v>33</v>
      </c>
      <c r="BV4" t="s" s="62">
        <v>34</v>
      </c>
      <c r="BW4" s="63"/>
      <c r="BX4" t="s" s="61">
        <v>35</v>
      </c>
      <c r="BY4" t="s" s="62">
        <v>36</v>
      </c>
      <c r="BZ4" s="63"/>
      <c r="CA4" t="s" s="61">
        <v>37</v>
      </c>
      <c r="CB4" t="s" s="62">
        <v>38</v>
      </c>
      <c r="CC4" s="63"/>
      <c r="CD4" t="s" s="61">
        <v>39</v>
      </c>
      <c r="CE4" t="s" s="62">
        <v>40</v>
      </c>
      <c r="CF4" s="28"/>
      <c r="CG4" s="60"/>
      <c r="CH4" t="s" s="61">
        <v>33</v>
      </c>
      <c r="CI4" t="s" s="62">
        <v>34</v>
      </c>
      <c r="CJ4" s="63"/>
      <c r="CK4" t="s" s="61">
        <v>35</v>
      </c>
      <c r="CL4" t="s" s="62">
        <v>36</v>
      </c>
      <c r="CM4" s="63"/>
      <c r="CN4" t="s" s="61">
        <v>37</v>
      </c>
      <c r="CO4" t="s" s="62">
        <v>38</v>
      </c>
      <c r="CP4" s="63"/>
      <c r="CQ4" t="s" s="61">
        <v>39</v>
      </c>
      <c r="CR4" t="s" s="62">
        <v>40</v>
      </c>
      <c r="CS4" s="64"/>
      <c r="CT4" s="60"/>
      <c r="CU4" s="65"/>
      <c r="CV4" s="65"/>
      <c r="CW4" s="65"/>
      <c r="CX4" s="65"/>
      <c r="CY4" s="18"/>
      <c r="CZ4" s="66"/>
      <c r="DA4" s="18"/>
      <c r="DB4" s="67"/>
      <c r="DC4" s="67"/>
      <c r="DD4" s="67"/>
      <c r="DE4" s="67"/>
      <c r="DF4" s="18"/>
      <c r="DG4" s="67"/>
      <c r="DH4" s="67"/>
      <c r="DI4" s="67"/>
      <c r="DJ4" s="67"/>
    </row>
    <row r="5" ht="15" customHeight="1">
      <c r="A5" s="68"/>
      <c r="B5" s="69">
        <v>1</v>
      </c>
      <c r="C5" t="s" s="70">
        <v>577</v>
      </c>
      <c r="D5" t="s" s="71">
        <v>578</v>
      </c>
      <c r="E5" t="s" s="72">
        <v>43</v>
      </c>
      <c r="F5" s="208"/>
      <c r="G5" t="s" s="107">
        <v>43</v>
      </c>
      <c r="H5" s="271"/>
      <c r="I5" t="s" s="72">
        <v>43</v>
      </c>
      <c r="J5" t="s" s="107">
        <v>43</v>
      </c>
      <c r="K5" t="s" s="272">
        <v>43</v>
      </c>
      <c r="L5" t="s" s="211">
        <v>43</v>
      </c>
      <c r="M5" s="79">
        <v>10</v>
      </c>
      <c r="N5" s="79">
        <v>10</v>
      </c>
      <c r="O5" s="79">
        <v>17</v>
      </c>
      <c r="P5" s="79">
        <v>10</v>
      </c>
      <c r="Q5" s="79">
        <v>9</v>
      </c>
      <c r="R5" s="79">
        <v>10</v>
      </c>
      <c r="S5" s="79">
        <v>9</v>
      </c>
      <c r="T5" s="79">
        <v>7</v>
      </c>
      <c r="U5" s="79">
        <f>M5+N5+O5+P5+Q5+R5+S5+T5+Y5+Z5+V5</f>
        <v>98</v>
      </c>
      <c r="V5" s="75"/>
      <c r="W5" s="79">
        <v>10</v>
      </c>
      <c r="X5" s="79">
        <v>0</v>
      </c>
      <c r="Y5" s="110">
        <v>8</v>
      </c>
      <c r="Z5" s="79">
        <v>8</v>
      </c>
      <c r="AA5" s="79">
        <v>10</v>
      </c>
      <c r="AB5" s="110">
        <v>0</v>
      </c>
      <c r="AC5" s="79">
        <v>0</v>
      </c>
      <c r="AD5" s="110">
        <v>5</v>
      </c>
      <c r="AE5" s="79">
        <v>0</v>
      </c>
      <c r="AF5" s="110">
        <v>15</v>
      </c>
      <c r="AG5" s="111">
        <f>W5+X5+Y5+Z5+AA5+AB5+AC5+AD5+AE5+AF5</f>
        <v>56</v>
      </c>
      <c r="AH5" s="273"/>
      <c r="AI5" s="78">
        <v>1</v>
      </c>
      <c r="AJ5" s="110">
        <v>10</v>
      </c>
      <c r="AK5" s="79">
        <v>20</v>
      </c>
      <c r="AL5" s="110">
        <v>25</v>
      </c>
      <c r="AM5" s="79">
        <v>10</v>
      </c>
      <c r="AN5" s="79">
        <v>15</v>
      </c>
      <c r="AO5" s="110">
        <v>8</v>
      </c>
      <c r="AP5" s="75"/>
      <c r="AQ5" s="110">
        <v>5</v>
      </c>
      <c r="AR5" s="79">
        <f>SUM(AJ5:AQ5)</f>
        <v>93</v>
      </c>
      <c r="AS5" s="18"/>
      <c r="AT5" s="78">
        <v>1</v>
      </c>
      <c r="AU5" s="110">
        <f>AR5+0</f>
        <v>93</v>
      </c>
      <c r="AV5" s="75"/>
      <c r="AW5" s="18"/>
      <c r="AX5" s="110">
        <f>AG5</f>
        <v>56</v>
      </c>
      <c r="AY5" s="79">
        <v>90</v>
      </c>
      <c r="AZ5" s="18"/>
      <c r="BA5" s="110">
        <f>U5</f>
        <v>98</v>
      </c>
      <c r="BB5" s="75"/>
      <c r="BC5" s="18"/>
      <c r="BD5" s="76"/>
      <c r="BE5" s="75"/>
      <c r="BF5" s="18"/>
      <c r="BG5" s="78">
        <v>1</v>
      </c>
      <c r="BH5" s="110">
        <f>AR5-1</f>
        <v>92</v>
      </c>
      <c r="BI5" s="75"/>
      <c r="BJ5" s="18"/>
      <c r="BK5" s="110">
        <f>AG5-1</f>
        <v>55</v>
      </c>
      <c r="BL5" s="79">
        <v>90</v>
      </c>
      <c r="BM5" s="18"/>
      <c r="BN5" s="110">
        <f>U5-1</f>
        <v>97</v>
      </c>
      <c r="BO5" s="75"/>
      <c r="BP5" s="18"/>
      <c r="BQ5" s="76"/>
      <c r="BR5" s="75"/>
      <c r="BS5" s="18"/>
      <c r="BT5" s="78">
        <v>1</v>
      </c>
      <c r="BU5" s="110">
        <f>AR5+2</f>
        <v>95</v>
      </c>
      <c r="BV5" s="75"/>
      <c r="BW5" s="18"/>
      <c r="BX5" s="110">
        <f>AG5+2</f>
        <v>58</v>
      </c>
      <c r="BY5" s="79">
        <v>90</v>
      </c>
      <c r="BZ5" s="18"/>
      <c r="CA5" s="110">
        <f>U5+2</f>
        <v>100</v>
      </c>
      <c r="CB5" s="75"/>
      <c r="CC5" s="18"/>
      <c r="CD5" s="76"/>
      <c r="CE5" s="75"/>
      <c r="CF5" s="18"/>
      <c r="CG5" s="78">
        <v>1</v>
      </c>
      <c r="CH5" s="110">
        <f>AR5+1</f>
        <v>94</v>
      </c>
      <c r="CI5" s="75"/>
      <c r="CJ5" s="18"/>
      <c r="CK5" s="110">
        <f>AG5+1</f>
        <v>57</v>
      </c>
      <c r="CL5" s="79">
        <v>90</v>
      </c>
      <c r="CM5" s="18"/>
      <c r="CN5" s="110">
        <f>U5+1</f>
        <v>99</v>
      </c>
      <c r="CO5" s="79">
        <v>90</v>
      </c>
      <c r="CP5" s="18"/>
      <c r="CQ5" s="76"/>
      <c r="CR5" s="75"/>
      <c r="CS5" s="18"/>
      <c r="CT5" s="78">
        <v>1</v>
      </c>
      <c r="CU5" s="79">
        <f>(AU5+AX5+BA5+BD5)/4</f>
        <v>61.75</v>
      </c>
      <c r="CV5" s="79">
        <f>(BH5+BK5+BN5+BQ5)/4</f>
        <v>61</v>
      </c>
      <c r="CW5" s="79">
        <f>(BU5+BX5+CA5+CD5)/4</f>
        <v>63.25</v>
      </c>
      <c r="CX5" s="79">
        <f>(CH5+CK5+CN5+CQ5)/4</f>
        <v>62.5</v>
      </c>
      <c r="CY5" s="18"/>
      <c r="CZ5" s="80">
        <f>SUM(CU5:CX5)/4</f>
        <v>62.125</v>
      </c>
      <c r="DA5" s="18"/>
      <c r="DB5" s="79">
        <f>CZ5*0.5</f>
        <v>31.0625</v>
      </c>
      <c r="DC5" s="75"/>
      <c r="DD5" s="79">
        <f>DC5*0.5</f>
        <v>0</v>
      </c>
      <c r="DE5" s="81">
        <f>DD5+DB5</f>
        <v>31.0625</v>
      </c>
      <c r="DF5" s="18"/>
      <c r="DG5" s="79">
        <f>CZ5*0.3</f>
        <v>18.6375</v>
      </c>
      <c r="DH5" s="75"/>
      <c r="DI5" s="79">
        <f>DH5*0.7</f>
        <v>0</v>
      </c>
      <c r="DJ5" s="81">
        <f>DI5+DG5</f>
        <v>18.6375</v>
      </c>
    </row>
    <row r="6" ht="13.5" customHeight="1">
      <c r="A6" s="68"/>
      <c r="B6" s="69">
        <v>2</v>
      </c>
      <c r="C6" t="s" s="70">
        <v>579</v>
      </c>
      <c r="D6" t="s" s="71">
        <v>580</v>
      </c>
      <c r="E6" t="s" s="72">
        <v>43</v>
      </c>
      <c r="F6" s="217"/>
      <c r="G6" t="s" s="113">
        <v>43</v>
      </c>
      <c r="H6" s="274"/>
      <c r="I6" t="s" s="72">
        <v>43</v>
      </c>
      <c r="J6" t="s" s="113">
        <v>43</v>
      </c>
      <c r="K6" t="s" s="210">
        <v>43</v>
      </c>
      <c r="L6" t="s" s="211">
        <v>43</v>
      </c>
      <c r="M6" s="79">
        <v>10</v>
      </c>
      <c r="N6" s="79">
        <v>10</v>
      </c>
      <c r="O6" s="75"/>
      <c r="P6" s="79">
        <v>1</v>
      </c>
      <c r="Q6" s="79">
        <v>38</v>
      </c>
      <c r="R6" s="75"/>
      <c r="S6" s="75"/>
      <c r="T6" s="79">
        <v>7</v>
      </c>
      <c r="U6" s="79">
        <f>M6+N6+O6+P6+Q6+R6+S6+T6+Y6+Z6+V6</f>
        <v>85</v>
      </c>
      <c r="V6" s="75"/>
      <c r="W6" s="79">
        <v>10</v>
      </c>
      <c r="X6" s="79">
        <v>10</v>
      </c>
      <c r="Y6" s="110">
        <v>9</v>
      </c>
      <c r="Z6" s="79">
        <v>10</v>
      </c>
      <c r="AA6" s="79">
        <v>8</v>
      </c>
      <c r="AB6" s="110">
        <v>10</v>
      </c>
      <c r="AC6" s="79">
        <v>15</v>
      </c>
      <c r="AD6" s="110">
        <v>5</v>
      </c>
      <c r="AE6" s="79">
        <v>0</v>
      </c>
      <c r="AF6" s="110">
        <v>15</v>
      </c>
      <c r="AG6" s="111">
        <f>W6+X6+Y6+Z6+AA6+AB6+AC6+AD6+AE6+AF6</f>
        <v>92</v>
      </c>
      <c r="AH6" s="273"/>
      <c r="AI6" s="78">
        <v>2</v>
      </c>
      <c r="AJ6" s="110">
        <v>10</v>
      </c>
      <c r="AK6" s="79">
        <v>18</v>
      </c>
      <c r="AL6" s="110">
        <v>25</v>
      </c>
      <c r="AM6" s="79">
        <v>10</v>
      </c>
      <c r="AN6" s="79">
        <v>12</v>
      </c>
      <c r="AO6" s="110">
        <v>8</v>
      </c>
      <c r="AP6" s="75"/>
      <c r="AQ6" s="110">
        <v>5</v>
      </c>
      <c r="AR6" s="79">
        <f>SUM(AJ6:AQ6)</f>
        <v>88</v>
      </c>
      <c r="AS6" s="18"/>
      <c r="AT6" s="78">
        <v>2</v>
      </c>
      <c r="AU6" s="110">
        <f>AR6+0</f>
        <v>88</v>
      </c>
      <c r="AV6" s="75"/>
      <c r="AW6" s="18"/>
      <c r="AX6" s="110">
        <f>AG6</f>
        <v>92</v>
      </c>
      <c r="AY6" s="75"/>
      <c r="AZ6" s="18"/>
      <c r="BA6" s="110">
        <f>U6</f>
        <v>85</v>
      </c>
      <c r="BB6" s="75"/>
      <c r="BC6" s="18"/>
      <c r="BD6" s="76"/>
      <c r="BE6" s="75"/>
      <c r="BF6" s="18"/>
      <c r="BG6" s="78">
        <v>2</v>
      </c>
      <c r="BH6" s="110">
        <f>AR6-1</f>
        <v>87</v>
      </c>
      <c r="BI6" s="75"/>
      <c r="BJ6" s="18"/>
      <c r="BK6" s="110">
        <f>AG6-1</f>
        <v>91</v>
      </c>
      <c r="BL6" s="75"/>
      <c r="BM6" s="18"/>
      <c r="BN6" s="110">
        <f>U6-1</f>
        <v>84</v>
      </c>
      <c r="BO6" s="75"/>
      <c r="BP6" s="18"/>
      <c r="BQ6" s="76"/>
      <c r="BR6" s="75"/>
      <c r="BS6" s="18"/>
      <c r="BT6" s="78">
        <v>2</v>
      </c>
      <c r="BU6" s="110">
        <f>AR6+2</f>
        <v>90</v>
      </c>
      <c r="BV6" s="75"/>
      <c r="BW6" s="18"/>
      <c r="BX6" s="110">
        <f>AG6+2</f>
        <v>94</v>
      </c>
      <c r="BY6" s="75"/>
      <c r="BZ6" s="18"/>
      <c r="CA6" s="110">
        <f>U6+2</f>
        <v>87</v>
      </c>
      <c r="CB6" s="75"/>
      <c r="CC6" s="18"/>
      <c r="CD6" s="76"/>
      <c r="CE6" s="75"/>
      <c r="CF6" s="18"/>
      <c r="CG6" s="78">
        <v>2</v>
      </c>
      <c r="CH6" s="110">
        <f>AR6+1</f>
        <v>89</v>
      </c>
      <c r="CI6" s="75"/>
      <c r="CJ6" s="18"/>
      <c r="CK6" s="110">
        <f>AG6+1</f>
        <v>93</v>
      </c>
      <c r="CL6" s="75"/>
      <c r="CM6" s="18"/>
      <c r="CN6" s="110">
        <f>U6+1</f>
        <v>86</v>
      </c>
      <c r="CO6" s="75"/>
      <c r="CP6" s="18"/>
      <c r="CQ6" s="76"/>
      <c r="CR6" s="75"/>
      <c r="CS6" s="18"/>
      <c r="CT6" s="78">
        <v>2</v>
      </c>
      <c r="CU6" s="79">
        <f>(AU6+AX6+BA6+BD6)/4</f>
        <v>66.25</v>
      </c>
      <c r="CV6" s="79">
        <f>(BH6+BK6+BN6+BQ6)/4</f>
        <v>65.5</v>
      </c>
      <c r="CW6" s="79">
        <f>(BU6+BX6+CA6+CD6)/4</f>
        <v>67.75</v>
      </c>
      <c r="CX6" s="79">
        <f>(CH6+CK6+CN6+CQ6)/4</f>
        <v>67</v>
      </c>
      <c r="CY6" s="18"/>
      <c r="CZ6" s="80">
        <f>SUM(CU6:CX6)/4</f>
        <v>66.625</v>
      </c>
      <c r="DA6" s="18"/>
      <c r="DB6" s="79">
        <f>CZ6*0.5</f>
        <v>33.3125</v>
      </c>
      <c r="DC6" s="75"/>
      <c r="DD6" s="79">
        <f>DC6*0.5</f>
        <v>0</v>
      </c>
      <c r="DE6" s="81">
        <f>DD6+DB6</f>
        <v>33.3125</v>
      </c>
      <c r="DF6" s="18"/>
      <c r="DG6" s="79">
        <f>CZ6*0.3</f>
        <v>19.9875</v>
      </c>
      <c r="DH6" s="75"/>
      <c r="DI6" s="79">
        <f>DH6*0.7</f>
        <v>0</v>
      </c>
      <c r="DJ6" s="81">
        <f>DI6+DG6</f>
        <v>19.9875</v>
      </c>
    </row>
    <row r="7" ht="13.5" customHeight="1">
      <c r="A7" s="68"/>
      <c r="B7" s="69">
        <v>3</v>
      </c>
      <c r="C7" t="s" s="70">
        <v>581</v>
      </c>
      <c r="D7" t="s" s="71">
        <v>582</v>
      </c>
      <c r="E7" t="s" s="72">
        <v>43</v>
      </c>
      <c r="F7" s="217"/>
      <c r="G7" t="s" s="113">
        <v>163</v>
      </c>
      <c r="H7" s="274"/>
      <c r="I7" t="s" s="72">
        <v>43</v>
      </c>
      <c r="J7" t="s" s="113">
        <v>43</v>
      </c>
      <c r="K7" t="s" s="210">
        <v>161</v>
      </c>
      <c r="L7" t="s" s="211">
        <v>43</v>
      </c>
      <c r="M7" s="79">
        <v>8</v>
      </c>
      <c r="N7" s="79">
        <v>18</v>
      </c>
      <c r="O7" s="79">
        <v>8</v>
      </c>
      <c r="P7" s="79">
        <v>1</v>
      </c>
      <c r="Q7" s="79">
        <v>38</v>
      </c>
      <c r="R7" s="75"/>
      <c r="S7" s="75"/>
      <c r="T7" s="79">
        <v>7</v>
      </c>
      <c r="U7" s="79">
        <f>M7+N7+O7+P7+Q7+R7+S7+T7+Y7+Z7+V7</f>
        <v>100</v>
      </c>
      <c r="V7" s="75"/>
      <c r="W7" s="79">
        <v>10</v>
      </c>
      <c r="X7" s="79">
        <v>8</v>
      </c>
      <c r="Y7" s="110">
        <v>10</v>
      </c>
      <c r="Z7" s="79">
        <v>10</v>
      </c>
      <c r="AA7" s="79">
        <v>10</v>
      </c>
      <c r="AB7" s="110">
        <v>10</v>
      </c>
      <c r="AC7" s="79">
        <v>5</v>
      </c>
      <c r="AD7" s="110">
        <v>5</v>
      </c>
      <c r="AE7" s="79">
        <v>5</v>
      </c>
      <c r="AF7" s="110">
        <v>15</v>
      </c>
      <c r="AG7" s="111">
        <f>W7+X7+Y7+Z7+AA7+AB7+AC7+AD7+AE7+AF7</f>
        <v>88</v>
      </c>
      <c r="AH7" s="273"/>
      <c r="AI7" s="78">
        <v>3</v>
      </c>
      <c r="AJ7" s="110">
        <v>10</v>
      </c>
      <c r="AK7" s="79">
        <v>18</v>
      </c>
      <c r="AL7" s="110">
        <v>25</v>
      </c>
      <c r="AM7" s="79">
        <v>10</v>
      </c>
      <c r="AN7" s="79">
        <v>14</v>
      </c>
      <c r="AO7" s="110">
        <v>9</v>
      </c>
      <c r="AP7" s="79">
        <v>5</v>
      </c>
      <c r="AQ7" s="110">
        <v>5</v>
      </c>
      <c r="AR7" s="79">
        <f>SUM(AJ7:AQ7)</f>
        <v>96</v>
      </c>
      <c r="AS7" s="18"/>
      <c r="AT7" s="78">
        <v>3</v>
      </c>
      <c r="AU7" s="110">
        <f>AR7+0</f>
        <v>96</v>
      </c>
      <c r="AV7" s="75"/>
      <c r="AW7" s="18"/>
      <c r="AX7" s="110">
        <f>AG7</f>
        <v>88</v>
      </c>
      <c r="AY7" s="75"/>
      <c r="AZ7" s="18"/>
      <c r="BA7" s="110">
        <f>U7</f>
        <v>100</v>
      </c>
      <c r="BB7" s="75"/>
      <c r="BC7" s="18"/>
      <c r="BD7" s="76"/>
      <c r="BE7" s="75"/>
      <c r="BF7" s="18"/>
      <c r="BG7" s="78">
        <v>3</v>
      </c>
      <c r="BH7" s="110">
        <f>AR7-1</f>
        <v>95</v>
      </c>
      <c r="BI7" s="75"/>
      <c r="BJ7" s="18"/>
      <c r="BK7" s="110">
        <f>AG7-1</f>
        <v>87</v>
      </c>
      <c r="BL7" s="75"/>
      <c r="BM7" s="18"/>
      <c r="BN7" s="110">
        <f>U7-1</f>
        <v>99</v>
      </c>
      <c r="BO7" s="75"/>
      <c r="BP7" s="18"/>
      <c r="BQ7" s="76"/>
      <c r="BR7" s="75"/>
      <c r="BS7" s="18"/>
      <c r="BT7" s="78">
        <v>3</v>
      </c>
      <c r="BU7" s="110">
        <f>AR7+2</f>
        <v>98</v>
      </c>
      <c r="BV7" s="75"/>
      <c r="BW7" s="18"/>
      <c r="BX7" s="110">
        <f>AG7+2</f>
        <v>90</v>
      </c>
      <c r="BY7" s="75"/>
      <c r="BZ7" s="18"/>
      <c r="CA7" s="110">
        <v>100</v>
      </c>
      <c r="CB7" s="75"/>
      <c r="CC7" s="18"/>
      <c r="CD7" s="76"/>
      <c r="CE7" s="75"/>
      <c r="CF7" s="18"/>
      <c r="CG7" s="78">
        <v>3</v>
      </c>
      <c r="CH7" s="110">
        <f>AR7+1</f>
        <v>97</v>
      </c>
      <c r="CI7" s="75"/>
      <c r="CJ7" s="18"/>
      <c r="CK7" s="110">
        <f>AG7+1</f>
        <v>89</v>
      </c>
      <c r="CL7" s="75"/>
      <c r="CM7" s="18"/>
      <c r="CN7" s="110">
        <v>100</v>
      </c>
      <c r="CO7" s="75"/>
      <c r="CP7" s="18"/>
      <c r="CQ7" s="76"/>
      <c r="CR7" s="75"/>
      <c r="CS7" s="18"/>
      <c r="CT7" s="78">
        <v>3</v>
      </c>
      <c r="CU7" s="79">
        <f>(AU7+AX7+BA7+BD7)/4</f>
        <v>71</v>
      </c>
      <c r="CV7" s="79">
        <f>(BH7+BK7+BN7+BQ7)/4</f>
        <v>70.25</v>
      </c>
      <c r="CW7" s="79">
        <f>(BU7+BX7+CA7+CD7)/4</f>
        <v>72</v>
      </c>
      <c r="CX7" s="79">
        <f>(CH7+CK7+CN7+CQ7)/4</f>
        <v>71.5</v>
      </c>
      <c r="CY7" s="18"/>
      <c r="CZ7" s="80">
        <f>SUM(CU7:CX7)/4</f>
        <v>71.1875</v>
      </c>
      <c r="DA7" s="18"/>
      <c r="DB7" s="79">
        <f>CZ7*0.5</f>
        <v>35.59375</v>
      </c>
      <c r="DC7" s="75"/>
      <c r="DD7" s="79">
        <f>DC7*0.5</f>
        <v>0</v>
      </c>
      <c r="DE7" s="81">
        <f>DD7+DB7</f>
        <v>35.59375</v>
      </c>
      <c r="DF7" s="18"/>
      <c r="DG7" s="79">
        <f>CZ7*0.3</f>
        <v>21.35625</v>
      </c>
      <c r="DH7" s="75"/>
      <c r="DI7" s="79">
        <f>DH7*0.7</f>
        <v>0</v>
      </c>
      <c r="DJ7" s="81">
        <f>DI7+DG7</f>
        <v>21.35625</v>
      </c>
    </row>
    <row r="8" ht="13.5" customHeight="1">
      <c r="A8" s="68"/>
      <c r="B8" s="69">
        <v>4</v>
      </c>
      <c r="C8" t="s" s="70">
        <v>583</v>
      </c>
      <c r="D8" t="s" s="71">
        <v>584</v>
      </c>
      <c r="E8" t="s" s="72">
        <v>161</v>
      </c>
      <c r="F8" t="s" s="275">
        <v>161</v>
      </c>
      <c r="G8" t="s" s="113">
        <v>161</v>
      </c>
      <c r="H8" s="274"/>
      <c r="I8" t="s" s="72">
        <v>162</v>
      </c>
      <c r="J8" t="s" s="113">
        <v>43</v>
      </c>
      <c r="K8" t="s" s="210">
        <v>43</v>
      </c>
      <c r="L8" t="s" s="211">
        <v>162</v>
      </c>
      <c r="M8" s="79">
        <v>10</v>
      </c>
      <c r="N8" s="79">
        <v>10</v>
      </c>
      <c r="O8" s="75"/>
      <c r="P8" s="79">
        <v>8</v>
      </c>
      <c r="Q8" s="79">
        <v>8</v>
      </c>
      <c r="R8" s="79">
        <v>9</v>
      </c>
      <c r="S8" s="79">
        <v>9</v>
      </c>
      <c r="T8" s="79">
        <v>7</v>
      </c>
      <c r="U8" s="79">
        <f>M8+N8+O8+P8+Q8+R8+S8+T8+Y8+Z8+V8</f>
        <v>79</v>
      </c>
      <c r="V8" s="75"/>
      <c r="W8" s="79">
        <v>10</v>
      </c>
      <c r="X8" s="79">
        <v>0</v>
      </c>
      <c r="Y8" s="110">
        <v>9</v>
      </c>
      <c r="Z8" s="79">
        <v>9</v>
      </c>
      <c r="AA8" s="79">
        <v>5</v>
      </c>
      <c r="AB8" s="110">
        <v>8</v>
      </c>
      <c r="AC8" s="79">
        <v>0</v>
      </c>
      <c r="AD8" s="110">
        <v>0</v>
      </c>
      <c r="AE8" s="79">
        <v>0</v>
      </c>
      <c r="AF8" s="110">
        <v>15</v>
      </c>
      <c r="AG8" s="111">
        <f>W8+X8+Y8+Z8+AA8+AB8+AC8+AD8+AE8+AF8</f>
        <v>56</v>
      </c>
      <c r="AH8" s="273"/>
      <c r="AI8" s="78">
        <v>4</v>
      </c>
      <c r="AJ8" s="110">
        <v>10</v>
      </c>
      <c r="AK8" s="79">
        <v>16</v>
      </c>
      <c r="AL8" s="110">
        <v>25</v>
      </c>
      <c r="AM8" s="79">
        <v>9</v>
      </c>
      <c r="AN8" s="79">
        <v>0</v>
      </c>
      <c r="AO8" s="110">
        <v>8</v>
      </c>
      <c r="AP8" s="79">
        <v>7</v>
      </c>
      <c r="AQ8" s="110">
        <v>5</v>
      </c>
      <c r="AR8" s="79">
        <f>SUM(AJ8:AQ8)</f>
        <v>80</v>
      </c>
      <c r="AS8" s="18"/>
      <c r="AT8" s="78">
        <v>4</v>
      </c>
      <c r="AU8" s="110">
        <f>AR8+0</f>
        <v>80</v>
      </c>
      <c r="AV8" s="75"/>
      <c r="AW8" s="18"/>
      <c r="AX8" s="110">
        <f>AG8</f>
        <v>56</v>
      </c>
      <c r="AY8" s="79">
        <v>73</v>
      </c>
      <c r="AZ8" s="18"/>
      <c r="BA8" s="110">
        <f>U8</f>
        <v>79</v>
      </c>
      <c r="BB8" s="75"/>
      <c r="BC8" s="18"/>
      <c r="BD8" s="76"/>
      <c r="BE8" s="75"/>
      <c r="BF8" s="18"/>
      <c r="BG8" s="78">
        <v>4</v>
      </c>
      <c r="BH8" s="110">
        <f>AR8-1</f>
        <v>79</v>
      </c>
      <c r="BI8" s="75"/>
      <c r="BJ8" s="18"/>
      <c r="BK8" s="110">
        <f>AG8-1</f>
        <v>55</v>
      </c>
      <c r="BL8" s="79">
        <v>73</v>
      </c>
      <c r="BM8" s="18"/>
      <c r="BN8" s="110">
        <f>U8-1</f>
        <v>78</v>
      </c>
      <c r="BO8" s="75"/>
      <c r="BP8" s="18"/>
      <c r="BQ8" s="76"/>
      <c r="BR8" s="75"/>
      <c r="BS8" s="18"/>
      <c r="BT8" s="78">
        <v>4</v>
      </c>
      <c r="BU8" s="110">
        <f>AR8+2</f>
        <v>82</v>
      </c>
      <c r="BV8" s="75"/>
      <c r="BW8" s="18"/>
      <c r="BX8" s="110">
        <f>AG8+2</f>
        <v>58</v>
      </c>
      <c r="BY8" s="79">
        <v>73</v>
      </c>
      <c r="BZ8" s="18"/>
      <c r="CA8" s="110">
        <f>U8+2</f>
        <v>81</v>
      </c>
      <c r="CB8" s="75"/>
      <c r="CC8" s="18"/>
      <c r="CD8" s="76"/>
      <c r="CE8" s="75"/>
      <c r="CF8" s="18"/>
      <c r="CG8" s="78">
        <v>4</v>
      </c>
      <c r="CH8" s="110">
        <f>AR8+1</f>
        <v>81</v>
      </c>
      <c r="CI8" s="75"/>
      <c r="CJ8" s="18"/>
      <c r="CK8" s="110">
        <f>AG8+1</f>
        <v>57</v>
      </c>
      <c r="CL8" s="79">
        <v>73</v>
      </c>
      <c r="CM8" s="18"/>
      <c r="CN8" s="110">
        <f>U8+1</f>
        <v>80</v>
      </c>
      <c r="CO8" s="79">
        <v>73</v>
      </c>
      <c r="CP8" s="18"/>
      <c r="CQ8" s="76"/>
      <c r="CR8" s="75"/>
      <c r="CS8" s="18"/>
      <c r="CT8" s="78">
        <v>4</v>
      </c>
      <c r="CU8" s="79">
        <f>(AU8+AX8+BA8+BD8)/4</f>
        <v>53.75</v>
      </c>
      <c r="CV8" s="79">
        <f>(BH8+BK8+BN8+BQ8)/4</f>
        <v>53</v>
      </c>
      <c r="CW8" s="79">
        <f>(BU8+BX8+CA8+CD8)/4</f>
        <v>55.25</v>
      </c>
      <c r="CX8" s="79">
        <f>(CH8+CK8+CN8+CQ8)/4</f>
        <v>54.5</v>
      </c>
      <c r="CY8" s="18"/>
      <c r="CZ8" s="80">
        <f>SUM(CU8:CX8)/4</f>
        <v>54.125</v>
      </c>
      <c r="DA8" s="18"/>
      <c r="DB8" s="79">
        <f>CZ8*0.5</f>
        <v>27.0625</v>
      </c>
      <c r="DC8" s="75"/>
      <c r="DD8" s="79">
        <f>DC8*0.5</f>
        <v>0</v>
      </c>
      <c r="DE8" s="81">
        <f>DD8+DB8</f>
        <v>27.0625</v>
      </c>
      <c r="DF8" s="18"/>
      <c r="DG8" s="79">
        <f>CZ8*0.3</f>
        <v>16.2375</v>
      </c>
      <c r="DH8" s="75"/>
      <c r="DI8" s="79">
        <f>DH8*0.7</f>
        <v>0</v>
      </c>
      <c r="DJ8" s="81">
        <f>DI8+DG8</f>
        <v>16.2375</v>
      </c>
    </row>
    <row r="9" ht="13.5" customHeight="1">
      <c r="A9" s="68"/>
      <c r="B9" s="69">
        <v>5</v>
      </c>
      <c r="C9" t="s" s="70">
        <v>585</v>
      </c>
      <c r="D9" t="s" s="71">
        <v>586</v>
      </c>
      <c r="E9" t="s" s="72">
        <v>43</v>
      </c>
      <c r="F9" s="217"/>
      <c r="G9" t="s" s="113">
        <v>43</v>
      </c>
      <c r="H9" s="274"/>
      <c r="I9" t="s" s="72">
        <v>43</v>
      </c>
      <c r="J9" s="82"/>
      <c r="K9" t="s" s="210">
        <v>43</v>
      </c>
      <c r="L9" t="s" s="211">
        <v>43</v>
      </c>
      <c r="M9" s="79">
        <v>10</v>
      </c>
      <c r="N9" s="79">
        <v>19</v>
      </c>
      <c r="O9" s="79">
        <v>10</v>
      </c>
      <c r="P9" s="79">
        <v>37</v>
      </c>
      <c r="Q9" s="75"/>
      <c r="R9" s="75"/>
      <c r="S9" s="75"/>
      <c r="T9" s="79">
        <v>7</v>
      </c>
      <c r="U9" s="79">
        <f>M9+N9+O9+P9+Q9+R9+S9+T9+Y9+Z9+V9</f>
        <v>103</v>
      </c>
      <c r="V9" s="75"/>
      <c r="W9" s="79">
        <v>10</v>
      </c>
      <c r="X9" s="79">
        <v>10</v>
      </c>
      <c r="Y9" s="110">
        <v>10</v>
      </c>
      <c r="Z9" s="79">
        <v>10</v>
      </c>
      <c r="AA9" s="79">
        <v>8</v>
      </c>
      <c r="AB9" s="110">
        <v>10</v>
      </c>
      <c r="AC9" s="79">
        <v>10</v>
      </c>
      <c r="AD9" s="110">
        <v>5</v>
      </c>
      <c r="AE9" s="79">
        <v>5</v>
      </c>
      <c r="AF9" s="110">
        <v>15</v>
      </c>
      <c r="AG9" s="111">
        <f>W9+X9+Y9+Z9+AA9+AB9+AC9+AD9+AE9+AF9</f>
        <v>93</v>
      </c>
      <c r="AH9" s="273"/>
      <c r="AI9" s="78">
        <v>5</v>
      </c>
      <c r="AJ9" s="110">
        <v>10</v>
      </c>
      <c r="AK9" s="79">
        <v>20</v>
      </c>
      <c r="AL9" s="110">
        <v>25</v>
      </c>
      <c r="AM9" s="79">
        <v>10</v>
      </c>
      <c r="AN9" s="79">
        <v>15</v>
      </c>
      <c r="AO9" s="110">
        <v>10</v>
      </c>
      <c r="AP9" s="75"/>
      <c r="AQ9" s="110">
        <v>5</v>
      </c>
      <c r="AR9" s="79">
        <f>SUM(AJ9:AQ9)</f>
        <v>95</v>
      </c>
      <c r="AS9" s="18"/>
      <c r="AT9" s="78">
        <v>5</v>
      </c>
      <c r="AU9" s="110">
        <f>AR9+0</f>
        <v>95</v>
      </c>
      <c r="AV9" s="75"/>
      <c r="AW9" s="18"/>
      <c r="AX9" s="110">
        <f>AG9</f>
        <v>93</v>
      </c>
      <c r="AY9" s="75"/>
      <c r="AZ9" s="18"/>
      <c r="BA9" s="110">
        <v>100</v>
      </c>
      <c r="BB9" s="75"/>
      <c r="BC9" s="18"/>
      <c r="BD9" s="76"/>
      <c r="BE9" s="75"/>
      <c r="BF9" s="18"/>
      <c r="BG9" s="78">
        <v>5</v>
      </c>
      <c r="BH9" s="110">
        <f>AR9-1</f>
        <v>94</v>
      </c>
      <c r="BI9" s="75"/>
      <c r="BJ9" s="18"/>
      <c r="BK9" s="110">
        <f>AG9-1</f>
        <v>92</v>
      </c>
      <c r="BL9" s="75"/>
      <c r="BM9" s="18"/>
      <c r="BN9" s="110">
        <v>100</v>
      </c>
      <c r="BO9" s="75"/>
      <c r="BP9" s="18"/>
      <c r="BQ9" s="76"/>
      <c r="BR9" s="75"/>
      <c r="BS9" s="18"/>
      <c r="BT9" s="78">
        <v>5</v>
      </c>
      <c r="BU9" s="110">
        <f>AR9+2</f>
        <v>97</v>
      </c>
      <c r="BV9" s="75"/>
      <c r="BW9" s="18"/>
      <c r="BX9" s="110">
        <f>AG9+2</f>
        <v>95</v>
      </c>
      <c r="BY9" s="75"/>
      <c r="BZ9" s="18"/>
      <c r="CA9" s="110">
        <v>100</v>
      </c>
      <c r="CB9" s="75"/>
      <c r="CC9" s="18"/>
      <c r="CD9" s="76"/>
      <c r="CE9" s="75"/>
      <c r="CF9" s="18"/>
      <c r="CG9" s="78">
        <v>5</v>
      </c>
      <c r="CH9" s="110">
        <f>AR9+1</f>
        <v>96</v>
      </c>
      <c r="CI9" s="75"/>
      <c r="CJ9" s="18"/>
      <c r="CK9" s="110">
        <f>AG9+1</f>
        <v>94</v>
      </c>
      <c r="CL9" s="75"/>
      <c r="CM9" s="18"/>
      <c r="CN9" s="110">
        <v>100</v>
      </c>
      <c r="CO9" s="75"/>
      <c r="CP9" s="18"/>
      <c r="CQ9" s="76"/>
      <c r="CR9" s="75"/>
      <c r="CS9" s="18"/>
      <c r="CT9" s="78">
        <v>5</v>
      </c>
      <c r="CU9" s="79">
        <f>(AU9+AX9+BA9+BD9)/4</f>
        <v>72</v>
      </c>
      <c r="CV9" s="79">
        <f>(BH9+BK9+BN9+BQ9)/4</f>
        <v>71.5</v>
      </c>
      <c r="CW9" s="79">
        <f>(BU9+BX9+CA9+CD9)/4</f>
        <v>73</v>
      </c>
      <c r="CX9" s="79">
        <f>(CH9+CK9+CN9+CQ9)/4</f>
        <v>72.5</v>
      </c>
      <c r="CY9" s="18"/>
      <c r="CZ9" s="80">
        <f>SUM(CU9:CX9)/4</f>
        <v>72.25</v>
      </c>
      <c r="DA9" s="18"/>
      <c r="DB9" s="79">
        <f>CZ9*0.5</f>
        <v>36.125</v>
      </c>
      <c r="DC9" s="75"/>
      <c r="DD9" s="79">
        <f>DC9*0.5</f>
        <v>0</v>
      </c>
      <c r="DE9" s="81">
        <f>DD9+DB9</f>
        <v>36.125</v>
      </c>
      <c r="DF9" s="18"/>
      <c r="DG9" s="79">
        <f>CZ9*0.3</f>
        <v>21.675</v>
      </c>
      <c r="DH9" s="75"/>
      <c r="DI9" s="79">
        <f>DH9*0.7</f>
        <v>0</v>
      </c>
      <c r="DJ9" s="81">
        <f>DI9+DG9</f>
        <v>21.675</v>
      </c>
    </row>
    <row r="10" ht="13.5" customHeight="1">
      <c r="A10" s="68"/>
      <c r="B10" s="69">
        <v>6</v>
      </c>
      <c r="C10" t="s" s="70">
        <v>587</v>
      </c>
      <c r="D10" t="s" s="71">
        <v>588</v>
      </c>
      <c r="E10" t="s" s="72">
        <v>43</v>
      </c>
      <c r="F10" s="217"/>
      <c r="G10" t="s" s="113">
        <v>43</v>
      </c>
      <c r="H10" s="274"/>
      <c r="I10" t="s" s="72">
        <v>43</v>
      </c>
      <c r="J10" t="s" s="113">
        <v>43</v>
      </c>
      <c r="K10" t="s" s="210">
        <v>161</v>
      </c>
      <c r="L10" t="s" s="211">
        <v>43</v>
      </c>
      <c r="M10" s="79">
        <v>10</v>
      </c>
      <c r="N10" s="79">
        <v>0</v>
      </c>
      <c r="O10" s="75"/>
      <c r="P10" s="79">
        <v>9</v>
      </c>
      <c r="Q10" s="79">
        <v>6</v>
      </c>
      <c r="R10" s="79">
        <v>7</v>
      </c>
      <c r="S10" s="79">
        <v>8</v>
      </c>
      <c r="T10" s="79">
        <v>7</v>
      </c>
      <c r="U10" s="79">
        <f>M10+N10+O10+P10+Q10+R10+S10+T10+Y10+Z10+V10</f>
        <v>65</v>
      </c>
      <c r="V10" s="75"/>
      <c r="W10" s="79">
        <v>10</v>
      </c>
      <c r="X10" s="79">
        <v>0</v>
      </c>
      <c r="Y10" s="110">
        <v>9</v>
      </c>
      <c r="Z10" s="79">
        <v>9</v>
      </c>
      <c r="AA10" s="79">
        <v>9</v>
      </c>
      <c r="AB10" s="110">
        <v>10</v>
      </c>
      <c r="AC10" s="79">
        <v>10</v>
      </c>
      <c r="AD10" s="110">
        <v>5</v>
      </c>
      <c r="AE10" s="79">
        <v>3</v>
      </c>
      <c r="AF10" s="110">
        <v>15</v>
      </c>
      <c r="AG10" s="111">
        <f>W10+X10+Y10+Z10+AA10+AB10+AC10+AD10+AE10+AF10</f>
        <v>80</v>
      </c>
      <c r="AH10" s="273"/>
      <c r="AI10" s="78">
        <v>6</v>
      </c>
      <c r="AJ10" s="110">
        <v>10</v>
      </c>
      <c r="AK10" s="79">
        <v>15</v>
      </c>
      <c r="AL10" s="110">
        <v>25</v>
      </c>
      <c r="AM10" s="79">
        <v>10</v>
      </c>
      <c r="AN10" s="79">
        <v>15</v>
      </c>
      <c r="AO10" s="110">
        <v>10</v>
      </c>
      <c r="AP10" s="79">
        <v>5</v>
      </c>
      <c r="AQ10" s="110">
        <v>5</v>
      </c>
      <c r="AR10" s="79">
        <f>SUM(AJ10:AQ10)</f>
        <v>95</v>
      </c>
      <c r="AS10" s="18"/>
      <c r="AT10" s="78">
        <v>6</v>
      </c>
      <c r="AU10" s="110">
        <f>AR10+0</f>
        <v>95</v>
      </c>
      <c r="AV10" s="75"/>
      <c r="AW10" s="18"/>
      <c r="AX10" s="110">
        <f>AG10</f>
        <v>80</v>
      </c>
      <c r="AY10" s="75"/>
      <c r="AZ10" s="18"/>
      <c r="BA10" s="110">
        <f>U10</f>
        <v>65</v>
      </c>
      <c r="BB10" s="75"/>
      <c r="BC10" s="18"/>
      <c r="BD10" s="76"/>
      <c r="BE10" s="75"/>
      <c r="BF10" s="18"/>
      <c r="BG10" s="78">
        <v>6</v>
      </c>
      <c r="BH10" s="110">
        <f>AR10-1</f>
        <v>94</v>
      </c>
      <c r="BI10" s="75"/>
      <c r="BJ10" s="18"/>
      <c r="BK10" s="110">
        <f>AG10-1</f>
        <v>79</v>
      </c>
      <c r="BL10" s="75"/>
      <c r="BM10" s="18"/>
      <c r="BN10" s="110">
        <f>U10-1</f>
        <v>64</v>
      </c>
      <c r="BO10" s="75"/>
      <c r="BP10" s="18"/>
      <c r="BQ10" s="76"/>
      <c r="BR10" s="75"/>
      <c r="BS10" s="18"/>
      <c r="BT10" s="78">
        <v>6</v>
      </c>
      <c r="BU10" s="110">
        <f>AR10+2</f>
        <v>97</v>
      </c>
      <c r="BV10" s="75"/>
      <c r="BW10" s="18"/>
      <c r="BX10" s="110">
        <f>AG10+2</f>
        <v>82</v>
      </c>
      <c r="BY10" s="75"/>
      <c r="BZ10" s="18"/>
      <c r="CA10" s="110">
        <f>U10+2</f>
        <v>67</v>
      </c>
      <c r="CB10" s="75"/>
      <c r="CC10" s="18"/>
      <c r="CD10" s="76"/>
      <c r="CE10" s="75"/>
      <c r="CF10" s="18"/>
      <c r="CG10" s="78">
        <v>6</v>
      </c>
      <c r="CH10" s="110">
        <f>AR10+1</f>
        <v>96</v>
      </c>
      <c r="CI10" s="75"/>
      <c r="CJ10" s="18"/>
      <c r="CK10" s="110">
        <f>AG10+1</f>
        <v>81</v>
      </c>
      <c r="CL10" s="75"/>
      <c r="CM10" s="18"/>
      <c r="CN10" s="110">
        <f>U10+1</f>
        <v>66</v>
      </c>
      <c r="CO10" s="75"/>
      <c r="CP10" s="18"/>
      <c r="CQ10" s="76"/>
      <c r="CR10" s="75"/>
      <c r="CS10" s="18"/>
      <c r="CT10" s="78">
        <v>6</v>
      </c>
      <c r="CU10" s="79">
        <f>(AU10+AX10+BA10+BD10)/4</f>
        <v>60</v>
      </c>
      <c r="CV10" s="79">
        <f>(BH10+BK10+BN10+BQ10)/4</f>
        <v>59.25</v>
      </c>
      <c r="CW10" s="79">
        <f>(BU10+BX10+CA10+CD10)/4</f>
        <v>61.5</v>
      </c>
      <c r="CX10" s="79">
        <f>(CH10+CK10+CN10+CQ10)/4</f>
        <v>60.75</v>
      </c>
      <c r="CY10" s="18"/>
      <c r="CZ10" s="80">
        <f>SUM(CU10:CX10)/4</f>
        <v>60.375</v>
      </c>
      <c r="DA10" s="18"/>
      <c r="DB10" s="79">
        <f>CZ10*0.5</f>
        <v>30.1875</v>
      </c>
      <c r="DC10" s="75"/>
      <c r="DD10" s="79">
        <f>DC10*0.5</f>
        <v>0</v>
      </c>
      <c r="DE10" s="81">
        <f>DD10+DB10</f>
        <v>30.1875</v>
      </c>
      <c r="DF10" s="18"/>
      <c r="DG10" s="79">
        <f>CZ10*0.3</f>
        <v>18.1125</v>
      </c>
      <c r="DH10" s="75"/>
      <c r="DI10" s="79">
        <f>DH10*0.7</f>
        <v>0</v>
      </c>
      <c r="DJ10" s="81">
        <f>DI10+DG10</f>
        <v>18.1125</v>
      </c>
    </row>
    <row r="11" ht="13.5" customHeight="1">
      <c r="A11" s="68"/>
      <c r="B11" s="69">
        <v>7</v>
      </c>
      <c r="C11" t="s" s="70">
        <v>589</v>
      </c>
      <c r="D11" t="s" s="71">
        <v>590</v>
      </c>
      <c r="E11" t="s" s="72">
        <v>43</v>
      </c>
      <c r="F11" s="217"/>
      <c r="G11" t="s" s="113">
        <v>43</v>
      </c>
      <c r="H11" s="274"/>
      <c r="I11" t="s" s="72">
        <v>43</v>
      </c>
      <c r="J11" t="s" s="113">
        <v>43</v>
      </c>
      <c r="K11" t="s" s="210">
        <v>161</v>
      </c>
      <c r="L11" t="s" s="211">
        <v>43</v>
      </c>
      <c r="M11" s="79">
        <v>10</v>
      </c>
      <c r="N11" s="79">
        <v>10</v>
      </c>
      <c r="O11" s="79">
        <v>5</v>
      </c>
      <c r="P11" s="79">
        <v>1</v>
      </c>
      <c r="Q11" s="79">
        <v>38</v>
      </c>
      <c r="R11" s="75"/>
      <c r="S11" s="75"/>
      <c r="T11" s="79">
        <v>7</v>
      </c>
      <c r="U11" s="79">
        <f>M11+N11+O11+P11+Q11+R11+S11+T11+Y11+Z11+V11</f>
        <v>89</v>
      </c>
      <c r="V11" s="75"/>
      <c r="W11" s="79">
        <v>10</v>
      </c>
      <c r="X11" s="79">
        <v>0</v>
      </c>
      <c r="Y11" s="110">
        <v>9</v>
      </c>
      <c r="Z11" s="79">
        <v>9</v>
      </c>
      <c r="AA11" s="79">
        <v>10</v>
      </c>
      <c r="AB11" s="110">
        <v>8</v>
      </c>
      <c r="AC11" s="79">
        <v>15</v>
      </c>
      <c r="AD11" s="110">
        <v>3</v>
      </c>
      <c r="AE11" s="79">
        <v>3</v>
      </c>
      <c r="AF11" s="110">
        <v>15</v>
      </c>
      <c r="AG11" s="111">
        <f>W11+X11+Y11+Z11+AA11+AB11+AC11+AD11+AE11+AF11</f>
        <v>82</v>
      </c>
      <c r="AH11" s="273"/>
      <c r="AI11" s="78">
        <v>7</v>
      </c>
      <c r="AJ11" s="110">
        <v>10</v>
      </c>
      <c r="AK11" s="79">
        <v>19</v>
      </c>
      <c r="AL11" s="110">
        <v>25</v>
      </c>
      <c r="AM11" s="79">
        <v>9</v>
      </c>
      <c r="AN11" s="79">
        <v>0</v>
      </c>
      <c r="AO11" s="110">
        <v>10</v>
      </c>
      <c r="AP11" s="79">
        <v>5</v>
      </c>
      <c r="AQ11" s="110">
        <v>5</v>
      </c>
      <c r="AR11" s="79">
        <f>SUM(AJ11:AQ11)</f>
        <v>83</v>
      </c>
      <c r="AS11" s="18"/>
      <c r="AT11" s="78">
        <v>7</v>
      </c>
      <c r="AU11" s="110">
        <f>AR11+0</f>
        <v>83</v>
      </c>
      <c r="AV11" s="75"/>
      <c r="AW11" s="18"/>
      <c r="AX11" s="110">
        <f>AG11</f>
        <v>82</v>
      </c>
      <c r="AY11" s="75"/>
      <c r="AZ11" s="18"/>
      <c r="BA11" s="110">
        <f>U11</f>
        <v>89</v>
      </c>
      <c r="BB11" s="75"/>
      <c r="BC11" s="18"/>
      <c r="BD11" s="76"/>
      <c r="BE11" s="75"/>
      <c r="BF11" s="18"/>
      <c r="BG11" s="78">
        <v>7</v>
      </c>
      <c r="BH11" s="110">
        <f>AR11-1</f>
        <v>82</v>
      </c>
      <c r="BI11" s="75"/>
      <c r="BJ11" s="18"/>
      <c r="BK11" s="110">
        <f>AG11-1</f>
        <v>81</v>
      </c>
      <c r="BL11" s="75"/>
      <c r="BM11" s="18"/>
      <c r="BN11" s="110">
        <f>U11-1</f>
        <v>88</v>
      </c>
      <c r="BO11" s="75"/>
      <c r="BP11" s="18"/>
      <c r="BQ11" s="76"/>
      <c r="BR11" s="75"/>
      <c r="BS11" s="18"/>
      <c r="BT11" s="78">
        <v>7</v>
      </c>
      <c r="BU11" s="110">
        <f>AR11+2</f>
        <v>85</v>
      </c>
      <c r="BV11" s="75"/>
      <c r="BW11" s="18"/>
      <c r="BX11" s="110">
        <f>AG11+2</f>
        <v>84</v>
      </c>
      <c r="BY11" s="75"/>
      <c r="BZ11" s="18"/>
      <c r="CA11" s="110">
        <f>U11+2</f>
        <v>91</v>
      </c>
      <c r="CB11" s="75"/>
      <c r="CC11" s="18"/>
      <c r="CD11" s="76"/>
      <c r="CE11" s="75"/>
      <c r="CF11" s="18"/>
      <c r="CG11" s="78">
        <v>7</v>
      </c>
      <c r="CH11" s="110">
        <f>AR11+1</f>
        <v>84</v>
      </c>
      <c r="CI11" s="75"/>
      <c r="CJ11" s="18"/>
      <c r="CK11" s="110">
        <f>AG11+1</f>
        <v>83</v>
      </c>
      <c r="CL11" s="75"/>
      <c r="CM11" s="18"/>
      <c r="CN11" s="110">
        <f>U11+1</f>
        <v>90</v>
      </c>
      <c r="CO11" s="75"/>
      <c r="CP11" s="18"/>
      <c r="CQ11" s="76"/>
      <c r="CR11" s="75"/>
      <c r="CS11" s="18"/>
      <c r="CT11" s="78">
        <v>7</v>
      </c>
      <c r="CU11" s="79">
        <f>(AU11+AX11+BA11+BD11)/4</f>
        <v>63.5</v>
      </c>
      <c r="CV11" s="79">
        <f>(BH11+BK11+BN11+BQ11)/4</f>
        <v>62.75</v>
      </c>
      <c r="CW11" s="79">
        <f>(BU11+BX11+CA11+CD11)/4</f>
        <v>65</v>
      </c>
      <c r="CX11" s="79">
        <f>(CH11+CK11+CN11+CQ11)/4</f>
        <v>64.25</v>
      </c>
      <c r="CY11" s="18"/>
      <c r="CZ11" s="80">
        <f>SUM(CU11:CX11)/4</f>
        <v>63.875</v>
      </c>
      <c r="DA11" s="18"/>
      <c r="DB11" s="79">
        <f>CZ11*0.5</f>
        <v>31.9375</v>
      </c>
      <c r="DC11" s="75"/>
      <c r="DD11" s="79">
        <f>DC11*0.5</f>
        <v>0</v>
      </c>
      <c r="DE11" s="81">
        <f>DD11+DB11</f>
        <v>31.9375</v>
      </c>
      <c r="DF11" s="18"/>
      <c r="DG11" s="79">
        <f>CZ11*0.3</f>
        <v>19.1625</v>
      </c>
      <c r="DH11" s="75"/>
      <c r="DI11" s="79">
        <f>DH11*0.7</f>
        <v>0</v>
      </c>
      <c r="DJ11" s="81">
        <f>DI11+DG11</f>
        <v>19.1625</v>
      </c>
    </row>
    <row r="12" ht="13.5" customHeight="1">
      <c r="A12" s="68"/>
      <c r="B12" s="69">
        <v>8</v>
      </c>
      <c r="C12" t="s" s="70">
        <v>591</v>
      </c>
      <c r="D12" t="s" s="71">
        <v>592</v>
      </c>
      <c r="E12" t="s" s="72">
        <v>43</v>
      </c>
      <c r="F12" s="217"/>
      <c r="G12" t="s" s="113">
        <v>43</v>
      </c>
      <c r="H12" s="274"/>
      <c r="I12" t="s" s="72">
        <v>162</v>
      </c>
      <c r="J12" t="s" s="113">
        <v>43</v>
      </c>
      <c r="K12" t="s" s="210">
        <v>43</v>
      </c>
      <c r="L12" t="s" s="211">
        <v>162</v>
      </c>
      <c r="M12" s="79">
        <v>10</v>
      </c>
      <c r="N12" s="79">
        <v>15</v>
      </c>
      <c r="O12" s="79">
        <v>8</v>
      </c>
      <c r="P12" s="79">
        <v>10</v>
      </c>
      <c r="Q12" s="79">
        <v>9</v>
      </c>
      <c r="R12" s="79">
        <v>10</v>
      </c>
      <c r="S12" s="79">
        <v>9</v>
      </c>
      <c r="T12" s="79">
        <v>7</v>
      </c>
      <c r="U12" s="79">
        <f>M12+N12+O12+P12+Q12+R12+S12+T12+Y12+Z12+V12</f>
        <v>98</v>
      </c>
      <c r="V12" s="75"/>
      <c r="W12" s="79">
        <v>10</v>
      </c>
      <c r="X12" s="79">
        <v>0</v>
      </c>
      <c r="Y12" s="110">
        <v>10</v>
      </c>
      <c r="Z12" s="79">
        <v>10</v>
      </c>
      <c r="AA12" s="79">
        <v>10</v>
      </c>
      <c r="AB12" s="110">
        <v>10</v>
      </c>
      <c r="AC12" s="79">
        <v>14</v>
      </c>
      <c r="AD12" s="110">
        <v>3</v>
      </c>
      <c r="AE12" s="79">
        <v>5</v>
      </c>
      <c r="AF12" s="110">
        <v>15</v>
      </c>
      <c r="AG12" s="111">
        <f>W12+X12+Y12+Z12+AA12+AB12+AC12+AD12+AE12+AF12</f>
        <v>87</v>
      </c>
      <c r="AH12" s="273"/>
      <c r="AI12" s="78">
        <v>8</v>
      </c>
      <c r="AJ12" s="110">
        <v>10</v>
      </c>
      <c r="AK12" s="79">
        <v>17</v>
      </c>
      <c r="AL12" s="110">
        <v>25</v>
      </c>
      <c r="AM12" s="79">
        <v>10</v>
      </c>
      <c r="AN12" s="79">
        <v>15</v>
      </c>
      <c r="AO12" s="110">
        <v>10</v>
      </c>
      <c r="AP12" s="79">
        <v>8</v>
      </c>
      <c r="AQ12" s="110">
        <v>5</v>
      </c>
      <c r="AR12" s="79">
        <f>SUM(AJ12:AQ12)</f>
        <v>100</v>
      </c>
      <c r="AS12" s="18"/>
      <c r="AT12" s="78">
        <v>8</v>
      </c>
      <c r="AU12" s="110">
        <f>AR12+0</f>
        <v>100</v>
      </c>
      <c r="AV12" s="75"/>
      <c r="AW12" s="18"/>
      <c r="AX12" s="110">
        <f>AG12</f>
        <v>87</v>
      </c>
      <c r="AY12" s="75"/>
      <c r="AZ12" s="18"/>
      <c r="BA12" s="110">
        <f>U12</f>
        <v>98</v>
      </c>
      <c r="BB12" s="75"/>
      <c r="BC12" s="18"/>
      <c r="BD12" s="76"/>
      <c r="BE12" s="75"/>
      <c r="BF12" s="18"/>
      <c r="BG12" s="78">
        <v>8</v>
      </c>
      <c r="BH12" s="110">
        <f>AR12-1</f>
        <v>99</v>
      </c>
      <c r="BI12" s="75"/>
      <c r="BJ12" s="18"/>
      <c r="BK12" s="110">
        <f>AG12-1</f>
        <v>86</v>
      </c>
      <c r="BL12" s="75"/>
      <c r="BM12" s="18"/>
      <c r="BN12" s="110">
        <f>U12-1</f>
        <v>97</v>
      </c>
      <c r="BO12" s="75"/>
      <c r="BP12" s="18"/>
      <c r="BQ12" s="76"/>
      <c r="BR12" s="75"/>
      <c r="BS12" s="18"/>
      <c r="BT12" s="78">
        <v>8</v>
      </c>
      <c r="BU12" s="110">
        <v>100</v>
      </c>
      <c r="BV12" s="75"/>
      <c r="BW12" s="18"/>
      <c r="BX12" s="110">
        <f>AG12+2</f>
        <v>89</v>
      </c>
      <c r="BY12" s="75"/>
      <c r="BZ12" s="18"/>
      <c r="CA12" s="110">
        <f>U12+2</f>
        <v>100</v>
      </c>
      <c r="CB12" s="75"/>
      <c r="CC12" s="18"/>
      <c r="CD12" s="76"/>
      <c r="CE12" s="75"/>
      <c r="CF12" s="18"/>
      <c r="CG12" s="78">
        <v>8</v>
      </c>
      <c r="CH12" s="110">
        <v>100</v>
      </c>
      <c r="CI12" s="75"/>
      <c r="CJ12" s="18"/>
      <c r="CK12" s="110">
        <f>AG12+1</f>
        <v>88</v>
      </c>
      <c r="CL12" s="75"/>
      <c r="CM12" s="18"/>
      <c r="CN12" s="110">
        <f>U12+1</f>
        <v>99</v>
      </c>
      <c r="CO12" s="75"/>
      <c r="CP12" s="18"/>
      <c r="CQ12" s="76"/>
      <c r="CR12" s="75"/>
      <c r="CS12" s="18"/>
      <c r="CT12" s="78">
        <v>8</v>
      </c>
      <c r="CU12" s="79">
        <f>(AU12+AX12+BA12+BD12)/4</f>
        <v>71.25</v>
      </c>
      <c r="CV12" s="79">
        <f>(BH12+BK12+BN12+BQ12)/4</f>
        <v>70.5</v>
      </c>
      <c r="CW12" s="79">
        <f>(BU12+BX12+CA12+CD12)/4</f>
        <v>72.25</v>
      </c>
      <c r="CX12" s="79">
        <f>(CH12+CK12+CN12+CQ12)/4</f>
        <v>71.75</v>
      </c>
      <c r="CY12" s="18"/>
      <c r="CZ12" s="80">
        <f>SUM(CU12:CX12)/4</f>
        <v>71.4375</v>
      </c>
      <c r="DA12" s="18"/>
      <c r="DB12" s="79">
        <f>CZ12*0.5</f>
        <v>35.71875</v>
      </c>
      <c r="DC12" s="75"/>
      <c r="DD12" s="79">
        <f>DC12*0.5</f>
        <v>0</v>
      </c>
      <c r="DE12" s="81">
        <f>DD12+DB12</f>
        <v>35.71875</v>
      </c>
      <c r="DF12" s="18"/>
      <c r="DG12" s="79">
        <f>CZ12*0.3</f>
        <v>21.43125</v>
      </c>
      <c r="DH12" s="75"/>
      <c r="DI12" s="79">
        <f>DH12*0.7</f>
        <v>0</v>
      </c>
      <c r="DJ12" s="81">
        <f>DI12+DG12</f>
        <v>21.43125</v>
      </c>
    </row>
    <row r="13" ht="13.5" customHeight="1">
      <c r="A13" s="68"/>
      <c r="B13" s="69">
        <v>9</v>
      </c>
      <c r="C13" t="s" s="70">
        <v>593</v>
      </c>
      <c r="D13" t="s" s="71">
        <v>594</v>
      </c>
      <c r="E13" t="s" s="72">
        <v>43</v>
      </c>
      <c r="F13" s="217"/>
      <c r="G13" t="s" s="113">
        <v>43</v>
      </c>
      <c r="H13" s="274"/>
      <c r="I13" t="s" s="72">
        <v>43</v>
      </c>
      <c r="J13" t="s" s="113">
        <v>43</v>
      </c>
      <c r="K13" t="s" s="210">
        <v>162</v>
      </c>
      <c r="L13" t="s" s="211">
        <v>43</v>
      </c>
      <c r="M13" s="79">
        <v>10</v>
      </c>
      <c r="N13" s="79">
        <v>15</v>
      </c>
      <c r="O13" s="79">
        <v>5</v>
      </c>
      <c r="P13" s="79">
        <v>8</v>
      </c>
      <c r="Q13" s="79">
        <v>9</v>
      </c>
      <c r="R13" s="79">
        <v>9</v>
      </c>
      <c r="S13" s="79">
        <v>8</v>
      </c>
      <c r="T13" s="79">
        <v>7</v>
      </c>
      <c r="U13" s="79">
        <f>M13+N13+O13+P13+Q13+R13+S13+T13+Y13+Z13+V13</f>
        <v>91</v>
      </c>
      <c r="V13" s="75"/>
      <c r="W13" s="79">
        <v>10</v>
      </c>
      <c r="X13" s="79">
        <v>0</v>
      </c>
      <c r="Y13" s="110">
        <v>10</v>
      </c>
      <c r="Z13" s="79">
        <v>10</v>
      </c>
      <c r="AA13" s="79">
        <v>5</v>
      </c>
      <c r="AB13" s="110">
        <v>10</v>
      </c>
      <c r="AC13" s="79">
        <v>18</v>
      </c>
      <c r="AD13" s="110">
        <v>4</v>
      </c>
      <c r="AE13" s="79">
        <v>4</v>
      </c>
      <c r="AF13" s="110">
        <v>15</v>
      </c>
      <c r="AG13" s="111">
        <f>W13+X13+Y13+Z13+AA13+AB13+AC13+AD13+AE13+AF13</f>
        <v>86</v>
      </c>
      <c r="AH13" s="273"/>
      <c r="AI13" s="78">
        <v>9</v>
      </c>
      <c r="AJ13" s="110">
        <v>10</v>
      </c>
      <c r="AK13" s="79">
        <v>17</v>
      </c>
      <c r="AL13" s="110">
        <v>25</v>
      </c>
      <c r="AM13" s="79">
        <v>10</v>
      </c>
      <c r="AN13" s="79">
        <v>0</v>
      </c>
      <c r="AO13" s="110">
        <v>10</v>
      </c>
      <c r="AP13" s="79">
        <v>7</v>
      </c>
      <c r="AQ13" s="110">
        <v>5</v>
      </c>
      <c r="AR13" s="79">
        <f>SUM(AJ13:AQ13)</f>
        <v>84</v>
      </c>
      <c r="AS13" s="18"/>
      <c r="AT13" s="78">
        <v>9</v>
      </c>
      <c r="AU13" s="110">
        <f>AR13+0</f>
        <v>84</v>
      </c>
      <c r="AV13" s="75"/>
      <c r="AW13" s="18"/>
      <c r="AX13" s="110">
        <f>AG13</f>
        <v>86</v>
      </c>
      <c r="AY13" s="75"/>
      <c r="AZ13" s="18"/>
      <c r="BA13" s="110">
        <f>U13</f>
        <v>91</v>
      </c>
      <c r="BB13" s="75"/>
      <c r="BC13" s="18"/>
      <c r="BD13" s="76"/>
      <c r="BE13" s="75"/>
      <c r="BF13" s="18"/>
      <c r="BG13" s="78">
        <v>9</v>
      </c>
      <c r="BH13" s="110">
        <f>AR13-1</f>
        <v>83</v>
      </c>
      <c r="BI13" s="75"/>
      <c r="BJ13" s="18"/>
      <c r="BK13" s="110">
        <f>AG13-1</f>
        <v>85</v>
      </c>
      <c r="BL13" s="75"/>
      <c r="BM13" s="18"/>
      <c r="BN13" s="110">
        <f>U13-1</f>
        <v>90</v>
      </c>
      <c r="BO13" s="75"/>
      <c r="BP13" s="18"/>
      <c r="BQ13" s="76"/>
      <c r="BR13" s="75"/>
      <c r="BS13" s="18"/>
      <c r="BT13" s="78">
        <v>9</v>
      </c>
      <c r="BU13" s="110">
        <f>AR13+2</f>
        <v>86</v>
      </c>
      <c r="BV13" s="75"/>
      <c r="BW13" s="18"/>
      <c r="BX13" s="110">
        <f>AG13+2</f>
        <v>88</v>
      </c>
      <c r="BY13" s="75"/>
      <c r="BZ13" s="18"/>
      <c r="CA13" s="110">
        <f>U13+2</f>
        <v>93</v>
      </c>
      <c r="CB13" s="75"/>
      <c r="CC13" s="18"/>
      <c r="CD13" s="76"/>
      <c r="CE13" s="75"/>
      <c r="CF13" s="18"/>
      <c r="CG13" s="78">
        <v>9</v>
      </c>
      <c r="CH13" s="110">
        <f>AR13+1</f>
        <v>85</v>
      </c>
      <c r="CI13" s="75"/>
      <c r="CJ13" s="18"/>
      <c r="CK13" s="110">
        <f>AG13+1</f>
        <v>87</v>
      </c>
      <c r="CL13" s="75"/>
      <c r="CM13" s="18"/>
      <c r="CN13" s="110">
        <f>U13+1</f>
        <v>92</v>
      </c>
      <c r="CO13" s="75"/>
      <c r="CP13" s="18"/>
      <c r="CQ13" s="76"/>
      <c r="CR13" s="75"/>
      <c r="CS13" s="18"/>
      <c r="CT13" s="78">
        <v>9</v>
      </c>
      <c r="CU13" s="79">
        <f>(AU13+AX13+BA13+BD13)/4</f>
        <v>65.25</v>
      </c>
      <c r="CV13" s="79">
        <f>(BH13+BK13+BN13+BQ13)/4</f>
        <v>64.5</v>
      </c>
      <c r="CW13" s="79">
        <f>(BU13+BX13+CA13+CD13)/4</f>
        <v>66.75</v>
      </c>
      <c r="CX13" s="79">
        <f>(CH13+CK13+CN13+CQ13)/4</f>
        <v>66</v>
      </c>
      <c r="CY13" s="18"/>
      <c r="CZ13" s="80">
        <f>SUM(CU13:CX13)/4</f>
        <v>65.625</v>
      </c>
      <c r="DA13" s="18"/>
      <c r="DB13" s="79">
        <f>CZ13*0.5</f>
        <v>32.8125</v>
      </c>
      <c r="DC13" s="75"/>
      <c r="DD13" s="79">
        <f>DC13*0.5</f>
        <v>0</v>
      </c>
      <c r="DE13" s="81">
        <f>DD13+DB13</f>
        <v>32.8125</v>
      </c>
      <c r="DF13" s="18"/>
      <c r="DG13" s="79">
        <f>CZ13*0.3</f>
        <v>19.6875</v>
      </c>
      <c r="DH13" s="75"/>
      <c r="DI13" s="79">
        <f>DH13*0.7</f>
        <v>0</v>
      </c>
      <c r="DJ13" s="81">
        <f>DI13+DG13</f>
        <v>19.6875</v>
      </c>
    </row>
    <row r="14" ht="13.5" customHeight="1">
      <c r="A14" s="68"/>
      <c r="B14" s="69">
        <v>10</v>
      </c>
      <c r="C14" t="s" s="70">
        <v>200</v>
      </c>
      <c r="D14" t="s" s="71">
        <v>595</v>
      </c>
      <c r="E14" t="s" s="72">
        <v>43</v>
      </c>
      <c r="F14" s="217"/>
      <c r="G14" t="s" s="113">
        <v>43</v>
      </c>
      <c r="H14" s="274"/>
      <c r="I14" t="s" s="72">
        <v>43</v>
      </c>
      <c r="J14" t="s" s="113">
        <v>43</v>
      </c>
      <c r="K14" t="s" s="210">
        <v>43</v>
      </c>
      <c r="L14" t="s" s="211">
        <v>43</v>
      </c>
      <c r="M14" s="79">
        <v>10</v>
      </c>
      <c r="N14" s="79">
        <v>12</v>
      </c>
      <c r="O14" s="79">
        <v>10</v>
      </c>
      <c r="P14" s="79">
        <v>10</v>
      </c>
      <c r="Q14" s="79">
        <v>9</v>
      </c>
      <c r="R14" s="79">
        <v>9</v>
      </c>
      <c r="S14" s="79">
        <v>9</v>
      </c>
      <c r="T14" s="79">
        <v>7</v>
      </c>
      <c r="U14" s="79">
        <f>M14+N14+O14+P14+Q14+R14+S14+T14+Y14+Z14+V14</f>
        <v>95</v>
      </c>
      <c r="V14" s="75"/>
      <c r="W14" s="79">
        <v>10</v>
      </c>
      <c r="X14" s="79">
        <v>0</v>
      </c>
      <c r="Y14" s="110">
        <v>9</v>
      </c>
      <c r="Z14" s="79">
        <v>10</v>
      </c>
      <c r="AA14" s="79">
        <v>5</v>
      </c>
      <c r="AB14" s="110">
        <v>10</v>
      </c>
      <c r="AC14" s="79">
        <v>18</v>
      </c>
      <c r="AD14" s="110">
        <v>4</v>
      </c>
      <c r="AE14" s="79">
        <v>4</v>
      </c>
      <c r="AF14" s="110">
        <v>15</v>
      </c>
      <c r="AG14" s="111">
        <f>W14+X14+Y14+Z14+AA14+AB14+AC14+AD14+AE14+AF14</f>
        <v>85</v>
      </c>
      <c r="AH14" s="273"/>
      <c r="AI14" s="78">
        <v>10</v>
      </c>
      <c r="AJ14" s="110">
        <v>10</v>
      </c>
      <c r="AK14" s="79">
        <v>0</v>
      </c>
      <c r="AL14" s="110">
        <v>25</v>
      </c>
      <c r="AM14" s="79">
        <v>8</v>
      </c>
      <c r="AN14" s="79">
        <v>12</v>
      </c>
      <c r="AO14" s="110">
        <v>9</v>
      </c>
      <c r="AP14" s="79">
        <v>0</v>
      </c>
      <c r="AQ14" s="110">
        <v>5</v>
      </c>
      <c r="AR14" s="79">
        <f>SUM(AJ14:AQ14)</f>
        <v>69</v>
      </c>
      <c r="AS14" s="18"/>
      <c r="AT14" s="78">
        <v>10</v>
      </c>
      <c r="AU14" s="110">
        <f>AR14+0</f>
        <v>69</v>
      </c>
      <c r="AV14" s="79">
        <v>75</v>
      </c>
      <c r="AW14" s="18"/>
      <c r="AX14" s="110">
        <f>AG14</f>
        <v>85</v>
      </c>
      <c r="AY14" s="75"/>
      <c r="AZ14" s="18"/>
      <c r="BA14" s="110">
        <f>U14</f>
        <v>95</v>
      </c>
      <c r="BB14" s="75"/>
      <c r="BC14" s="18"/>
      <c r="BD14" s="76"/>
      <c r="BE14" s="75"/>
      <c r="BF14" s="18"/>
      <c r="BG14" s="78">
        <v>10</v>
      </c>
      <c r="BH14" s="110">
        <f>AR14-1</f>
        <v>68</v>
      </c>
      <c r="BI14" s="79">
        <v>75</v>
      </c>
      <c r="BJ14" s="18"/>
      <c r="BK14" s="110">
        <f>AG14-1</f>
        <v>84</v>
      </c>
      <c r="BL14" s="75"/>
      <c r="BM14" s="18"/>
      <c r="BN14" s="110">
        <f>U14-1</f>
        <v>94</v>
      </c>
      <c r="BO14" s="75"/>
      <c r="BP14" s="18"/>
      <c r="BQ14" s="76"/>
      <c r="BR14" s="75"/>
      <c r="BS14" s="18"/>
      <c r="BT14" s="78">
        <v>10</v>
      </c>
      <c r="BU14" s="110">
        <v>69</v>
      </c>
      <c r="BV14" s="79">
        <v>75</v>
      </c>
      <c r="BW14" s="18"/>
      <c r="BX14" s="110">
        <f>AG14+2</f>
        <v>87</v>
      </c>
      <c r="BY14" s="75"/>
      <c r="BZ14" s="18"/>
      <c r="CA14" s="110">
        <f>U14+2</f>
        <v>97</v>
      </c>
      <c r="CB14" s="75"/>
      <c r="CC14" s="18"/>
      <c r="CD14" s="76"/>
      <c r="CE14" s="75"/>
      <c r="CF14" s="18"/>
      <c r="CG14" s="78">
        <v>10</v>
      </c>
      <c r="CH14" s="110">
        <f>AR14+1</f>
        <v>70</v>
      </c>
      <c r="CI14" s="75"/>
      <c r="CJ14" s="18"/>
      <c r="CK14" s="110">
        <f>AG14+1</f>
        <v>86</v>
      </c>
      <c r="CL14" s="75"/>
      <c r="CM14" s="18"/>
      <c r="CN14" s="110">
        <f>U14+1</f>
        <v>96</v>
      </c>
      <c r="CO14" s="75"/>
      <c r="CP14" s="18"/>
      <c r="CQ14" s="76"/>
      <c r="CR14" s="75"/>
      <c r="CS14" s="18"/>
      <c r="CT14" s="78">
        <v>10</v>
      </c>
      <c r="CU14" s="79">
        <f>(AU14+AX14+BA14+BD14)/4</f>
        <v>62.25</v>
      </c>
      <c r="CV14" s="79">
        <f>(BH14+BK14+BN14+BQ14)/4</f>
        <v>61.5</v>
      </c>
      <c r="CW14" s="79">
        <f>(BU14+BX14+CA14+CD14)/4</f>
        <v>63.25</v>
      </c>
      <c r="CX14" s="79">
        <f>(CH14+CK14+CN14+CQ14)/4</f>
        <v>63</v>
      </c>
      <c r="CY14" s="18"/>
      <c r="CZ14" s="80">
        <f>SUM(CU14:CX14)/4</f>
        <v>62.5</v>
      </c>
      <c r="DA14" s="18"/>
      <c r="DB14" s="79">
        <f>CZ14*0.5</f>
        <v>31.25</v>
      </c>
      <c r="DC14" s="75"/>
      <c r="DD14" s="79">
        <f>DC14*0.5</f>
        <v>0</v>
      </c>
      <c r="DE14" s="81">
        <f>DD14+DB14</f>
        <v>31.25</v>
      </c>
      <c r="DF14" s="18"/>
      <c r="DG14" s="79">
        <f>CZ14*0.3</f>
        <v>18.75</v>
      </c>
      <c r="DH14" s="75"/>
      <c r="DI14" s="79">
        <f>DH14*0.7</f>
        <v>0</v>
      </c>
      <c r="DJ14" s="81">
        <f>DI14+DG14</f>
        <v>18.75</v>
      </c>
    </row>
    <row r="15" ht="13.5" customHeight="1">
      <c r="A15" s="68"/>
      <c r="B15" s="69">
        <v>11</v>
      </c>
      <c r="C15" t="s" s="70">
        <v>596</v>
      </c>
      <c r="D15" t="s" s="71">
        <v>597</v>
      </c>
      <c r="E15" t="s" s="72">
        <v>43</v>
      </c>
      <c r="F15" s="217"/>
      <c r="G15" t="s" s="113">
        <v>43</v>
      </c>
      <c r="H15" s="274"/>
      <c r="I15" t="s" s="72">
        <v>43</v>
      </c>
      <c r="J15" t="s" s="113">
        <v>43</v>
      </c>
      <c r="K15" t="s" s="210">
        <v>43</v>
      </c>
      <c r="L15" t="s" s="211">
        <v>43</v>
      </c>
      <c r="M15" s="79">
        <v>10</v>
      </c>
      <c r="N15" s="79">
        <v>18</v>
      </c>
      <c r="O15" s="79">
        <v>8</v>
      </c>
      <c r="P15" s="79">
        <v>10</v>
      </c>
      <c r="Q15" s="79">
        <v>9</v>
      </c>
      <c r="R15" s="79">
        <v>10</v>
      </c>
      <c r="S15" s="79">
        <v>9</v>
      </c>
      <c r="T15" s="79">
        <v>7</v>
      </c>
      <c r="U15" s="79">
        <f>M15+N15+O15+P15+Q15+R15+S15+T15+Y15+Z15+V15</f>
        <v>101</v>
      </c>
      <c r="V15" s="75"/>
      <c r="W15" s="79">
        <v>10</v>
      </c>
      <c r="X15" s="79">
        <v>10</v>
      </c>
      <c r="Y15" s="110">
        <v>10</v>
      </c>
      <c r="Z15" s="79">
        <v>10</v>
      </c>
      <c r="AA15" s="79">
        <v>10</v>
      </c>
      <c r="AB15" s="110">
        <v>10</v>
      </c>
      <c r="AC15" s="79">
        <v>20</v>
      </c>
      <c r="AD15" s="110">
        <v>5</v>
      </c>
      <c r="AE15" s="79">
        <v>5</v>
      </c>
      <c r="AF15" s="110">
        <v>10</v>
      </c>
      <c r="AG15" s="111">
        <f>W15+X15+Y15+Z15+AA15+AB15+AC15+AD15+AE15+AF15</f>
        <v>100</v>
      </c>
      <c r="AH15" s="273"/>
      <c r="AI15" s="78">
        <v>11</v>
      </c>
      <c r="AJ15" s="110">
        <v>10</v>
      </c>
      <c r="AK15" s="79">
        <v>17</v>
      </c>
      <c r="AL15" s="110">
        <v>25</v>
      </c>
      <c r="AM15" s="79">
        <v>0</v>
      </c>
      <c r="AN15" s="79">
        <v>13</v>
      </c>
      <c r="AO15" s="110">
        <v>10</v>
      </c>
      <c r="AP15" s="79">
        <v>7</v>
      </c>
      <c r="AQ15" s="110">
        <v>5</v>
      </c>
      <c r="AR15" s="79">
        <f>SUM(AJ15:AQ15)</f>
        <v>87</v>
      </c>
      <c r="AS15" s="18"/>
      <c r="AT15" s="78">
        <v>11</v>
      </c>
      <c r="AU15" s="110">
        <f>AR15+0</f>
        <v>87</v>
      </c>
      <c r="AV15" s="75"/>
      <c r="AW15" s="18"/>
      <c r="AX15" s="110">
        <f>AG15</f>
        <v>100</v>
      </c>
      <c r="AY15" s="75"/>
      <c r="AZ15" s="18"/>
      <c r="BA15" s="110">
        <v>100</v>
      </c>
      <c r="BB15" s="75"/>
      <c r="BC15" s="18"/>
      <c r="BD15" s="76"/>
      <c r="BE15" s="75"/>
      <c r="BF15" s="18"/>
      <c r="BG15" s="78">
        <v>11</v>
      </c>
      <c r="BH15" s="110">
        <f>AR15-1</f>
        <v>86</v>
      </c>
      <c r="BI15" s="75"/>
      <c r="BJ15" s="18"/>
      <c r="BK15" s="110">
        <f>AG15-1</f>
        <v>99</v>
      </c>
      <c r="BL15" s="75"/>
      <c r="BM15" s="18"/>
      <c r="BN15" s="110">
        <f>U15-1</f>
        <v>100</v>
      </c>
      <c r="BO15" s="75"/>
      <c r="BP15" s="18"/>
      <c r="BQ15" s="76"/>
      <c r="BR15" s="75"/>
      <c r="BS15" s="18"/>
      <c r="BT15" s="78">
        <v>11</v>
      </c>
      <c r="BU15" s="110">
        <f>AR15+2</f>
        <v>89</v>
      </c>
      <c r="BV15" s="75"/>
      <c r="BW15" s="18"/>
      <c r="BX15" s="110">
        <v>100</v>
      </c>
      <c r="BY15" s="75"/>
      <c r="BZ15" s="18"/>
      <c r="CA15" s="110">
        <v>100</v>
      </c>
      <c r="CB15" s="75"/>
      <c r="CC15" s="18"/>
      <c r="CD15" s="76"/>
      <c r="CE15" s="75"/>
      <c r="CF15" s="18"/>
      <c r="CG15" s="78">
        <v>11</v>
      </c>
      <c r="CH15" s="110">
        <f>AR15+1</f>
        <v>88</v>
      </c>
      <c r="CI15" s="75"/>
      <c r="CJ15" s="18"/>
      <c r="CK15" s="110">
        <v>100</v>
      </c>
      <c r="CL15" s="75"/>
      <c r="CM15" s="18"/>
      <c r="CN15" s="110">
        <v>100</v>
      </c>
      <c r="CO15" s="75"/>
      <c r="CP15" s="18"/>
      <c r="CQ15" s="76"/>
      <c r="CR15" s="75"/>
      <c r="CS15" s="18"/>
      <c r="CT15" s="78">
        <v>11</v>
      </c>
      <c r="CU15" s="79">
        <f>(AU15+AX15+BA15+BD15)/4</f>
        <v>71.75</v>
      </c>
      <c r="CV15" s="79">
        <f>(BH15+BK15+BN15+BQ15)/4</f>
        <v>71.25</v>
      </c>
      <c r="CW15" s="79">
        <f>(BU15+BX15+CA15+CD15)/4</f>
        <v>72.25</v>
      </c>
      <c r="CX15" s="79">
        <f>(CH15+CK15+CN15+CQ15)/4</f>
        <v>72</v>
      </c>
      <c r="CY15" s="18"/>
      <c r="CZ15" s="80">
        <f>SUM(CU15:CX15)/4</f>
        <v>71.8125</v>
      </c>
      <c r="DA15" s="18"/>
      <c r="DB15" s="79">
        <f>CZ15*0.5</f>
        <v>35.90625</v>
      </c>
      <c r="DC15" s="75"/>
      <c r="DD15" s="79">
        <f>DC15*0.5</f>
        <v>0</v>
      </c>
      <c r="DE15" s="81">
        <f>DD15+DB15</f>
        <v>35.90625</v>
      </c>
      <c r="DF15" s="18"/>
      <c r="DG15" s="79">
        <f>CZ15*0.3</f>
        <v>21.54375</v>
      </c>
      <c r="DH15" s="75"/>
      <c r="DI15" s="79">
        <f>DH15*0.7</f>
        <v>0</v>
      </c>
      <c r="DJ15" s="81">
        <f>DI15+DG15</f>
        <v>21.54375</v>
      </c>
    </row>
    <row r="16" ht="13.5" customHeight="1">
      <c r="A16" s="68"/>
      <c r="B16" s="69">
        <v>12</v>
      </c>
      <c r="C16" t="s" s="70">
        <v>208</v>
      </c>
      <c r="D16" t="s" s="71">
        <v>598</v>
      </c>
      <c r="E16" t="s" s="72">
        <v>43</v>
      </c>
      <c r="F16" s="217"/>
      <c r="G16" t="s" s="113">
        <v>43</v>
      </c>
      <c r="H16" s="274"/>
      <c r="I16" t="s" s="72">
        <v>162</v>
      </c>
      <c r="J16" t="s" s="113">
        <v>43</v>
      </c>
      <c r="K16" t="s" s="210">
        <v>161</v>
      </c>
      <c r="L16" t="s" s="211">
        <v>162</v>
      </c>
      <c r="M16" s="79">
        <v>10</v>
      </c>
      <c r="N16" s="79">
        <v>17</v>
      </c>
      <c r="O16" s="79">
        <v>10</v>
      </c>
      <c r="P16" s="79">
        <v>1</v>
      </c>
      <c r="Q16" s="79">
        <v>38</v>
      </c>
      <c r="R16" s="75"/>
      <c r="S16" s="75"/>
      <c r="T16" s="79">
        <v>7</v>
      </c>
      <c r="U16" s="79">
        <f>M16+N16+O16+P16+Q16+R16+S16+T16+Y16+Z16+V16</f>
        <v>102</v>
      </c>
      <c r="V16" s="75"/>
      <c r="W16" s="79">
        <v>10</v>
      </c>
      <c r="X16" s="79">
        <v>0</v>
      </c>
      <c r="Y16" s="110">
        <v>9</v>
      </c>
      <c r="Z16" s="79">
        <v>10</v>
      </c>
      <c r="AA16" s="79">
        <v>10</v>
      </c>
      <c r="AB16" s="110">
        <v>8</v>
      </c>
      <c r="AC16" s="79">
        <v>18</v>
      </c>
      <c r="AD16" s="110">
        <v>5</v>
      </c>
      <c r="AE16" s="79">
        <v>5</v>
      </c>
      <c r="AF16" s="110">
        <v>15</v>
      </c>
      <c r="AG16" s="111">
        <f>W16+X16+Y16+Z16+AA16+AB16+AC16+AD16+AE16+AF16</f>
        <v>90</v>
      </c>
      <c r="AH16" s="273"/>
      <c r="AI16" s="78">
        <v>12</v>
      </c>
      <c r="AJ16" s="110">
        <v>10</v>
      </c>
      <c r="AK16" s="79">
        <v>18</v>
      </c>
      <c r="AL16" s="110">
        <v>25</v>
      </c>
      <c r="AM16" s="79">
        <v>10</v>
      </c>
      <c r="AN16" s="79">
        <v>10</v>
      </c>
      <c r="AO16" s="110">
        <v>9</v>
      </c>
      <c r="AP16" s="79">
        <v>7</v>
      </c>
      <c r="AQ16" s="110">
        <v>5</v>
      </c>
      <c r="AR16" s="79">
        <f>SUM(AJ16:AQ16)</f>
        <v>94</v>
      </c>
      <c r="AS16" s="18"/>
      <c r="AT16" s="78">
        <v>12</v>
      </c>
      <c r="AU16" s="110">
        <f>AR16+0</f>
        <v>94</v>
      </c>
      <c r="AV16" s="75"/>
      <c r="AW16" s="18"/>
      <c r="AX16" s="110">
        <f>AG16</f>
        <v>90</v>
      </c>
      <c r="AY16" s="75"/>
      <c r="AZ16" s="18"/>
      <c r="BA16" s="110">
        <v>100</v>
      </c>
      <c r="BB16" s="75"/>
      <c r="BC16" s="18"/>
      <c r="BD16" s="76"/>
      <c r="BE16" s="75"/>
      <c r="BF16" s="18"/>
      <c r="BG16" s="78">
        <v>12</v>
      </c>
      <c r="BH16" s="110">
        <f>AR16-1</f>
        <v>93</v>
      </c>
      <c r="BI16" s="75"/>
      <c r="BJ16" s="18"/>
      <c r="BK16" s="110">
        <f>AG16-1</f>
        <v>89</v>
      </c>
      <c r="BL16" s="75"/>
      <c r="BM16" s="18"/>
      <c r="BN16" s="110">
        <v>100</v>
      </c>
      <c r="BO16" s="75"/>
      <c r="BP16" s="18"/>
      <c r="BQ16" s="76"/>
      <c r="BR16" s="75"/>
      <c r="BS16" s="18"/>
      <c r="BT16" s="78">
        <v>12</v>
      </c>
      <c r="BU16" s="110">
        <f>AR16+2</f>
        <v>96</v>
      </c>
      <c r="BV16" s="75"/>
      <c r="BW16" s="18"/>
      <c r="BX16" s="110">
        <f>AG16+2</f>
        <v>92</v>
      </c>
      <c r="BY16" s="75"/>
      <c r="BZ16" s="18"/>
      <c r="CA16" s="110">
        <v>100</v>
      </c>
      <c r="CB16" s="75"/>
      <c r="CC16" s="18"/>
      <c r="CD16" s="76"/>
      <c r="CE16" s="75"/>
      <c r="CF16" s="18"/>
      <c r="CG16" s="78">
        <v>12</v>
      </c>
      <c r="CH16" s="110">
        <f>AR16+1</f>
        <v>95</v>
      </c>
      <c r="CI16" s="75"/>
      <c r="CJ16" s="18"/>
      <c r="CK16" s="110">
        <f>AG16+1</f>
        <v>91</v>
      </c>
      <c r="CL16" s="75"/>
      <c r="CM16" s="18"/>
      <c r="CN16" s="110">
        <v>100</v>
      </c>
      <c r="CO16" s="75"/>
      <c r="CP16" s="18"/>
      <c r="CQ16" s="76"/>
      <c r="CR16" s="75"/>
      <c r="CS16" s="18"/>
      <c r="CT16" s="78">
        <v>12</v>
      </c>
      <c r="CU16" s="79">
        <f>(AU16+AX16+BA16+BD16)/4</f>
        <v>71</v>
      </c>
      <c r="CV16" s="79">
        <f>(BH16+BK16+BN16+BQ16)/4</f>
        <v>70.5</v>
      </c>
      <c r="CW16" s="79">
        <f>(BU16+BX16+CA16+CD16)/4</f>
        <v>72</v>
      </c>
      <c r="CX16" s="79">
        <f>(CH16+CK16+CN16+CQ16)/4</f>
        <v>71.5</v>
      </c>
      <c r="CY16" s="18"/>
      <c r="CZ16" s="80">
        <f>SUM(CU16:CX16)/4</f>
        <v>71.25</v>
      </c>
      <c r="DA16" s="18"/>
      <c r="DB16" s="79">
        <f>CZ16*0.5</f>
        <v>35.625</v>
      </c>
      <c r="DC16" s="75"/>
      <c r="DD16" s="79">
        <f>DC16*0.5</f>
        <v>0</v>
      </c>
      <c r="DE16" s="81">
        <f>DD16+DB16</f>
        <v>35.625</v>
      </c>
      <c r="DF16" s="18"/>
      <c r="DG16" s="79">
        <f>CZ16*0.3</f>
        <v>21.375</v>
      </c>
      <c r="DH16" s="75"/>
      <c r="DI16" s="79">
        <f>DH16*0.7</f>
        <v>0</v>
      </c>
      <c r="DJ16" s="81">
        <f>DI16+DG16</f>
        <v>21.375</v>
      </c>
    </row>
    <row r="17" ht="13.5" customHeight="1">
      <c r="A17" s="68"/>
      <c r="B17" s="69">
        <v>13</v>
      </c>
      <c r="C17" t="s" s="70">
        <v>599</v>
      </c>
      <c r="D17" t="s" s="71">
        <v>600</v>
      </c>
      <c r="E17" t="s" s="72">
        <v>43</v>
      </c>
      <c r="F17" s="217"/>
      <c r="G17" t="s" s="113">
        <v>43</v>
      </c>
      <c r="H17" s="274"/>
      <c r="I17" t="s" s="72">
        <v>43</v>
      </c>
      <c r="J17" t="s" s="113">
        <v>43</v>
      </c>
      <c r="K17" t="s" s="210">
        <v>43</v>
      </c>
      <c r="L17" t="s" s="211">
        <v>43</v>
      </c>
      <c r="M17" s="79">
        <v>10</v>
      </c>
      <c r="N17" s="79">
        <v>18</v>
      </c>
      <c r="O17" s="79">
        <v>8</v>
      </c>
      <c r="P17" s="79">
        <v>10</v>
      </c>
      <c r="Q17" s="79">
        <v>9</v>
      </c>
      <c r="R17" s="79">
        <v>9</v>
      </c>
      <c r="S17" s="79">
        <v>9</v>
      </c>
      <c r="T17" s="79">
        <v>7</v>
      </c>
      <c r="U17" s="79">
        <f>M17+N17+O17+P17+Q17+R17+S17+T17+Y17+Z17+V17</f>
        <v>99</v>
      </c>
      <c r="V17" s="75"/>
      <c r="W17" s="79">
        <v>10</v>
      </c>
      <c r="X17" s="79">
        <v>0</v>
      </c>
      <c r="Y17" s="110">
        <v>9</v>
      </c>
      <c r="Z17" s="79">
        <v>10</v>
      </c>
      <c r="AA17" s="79">
        <v>10</v>
      </c>
      <c r="AB17" s="110">
        <v>8</v>
      </c>
      <c r="AC17" s="79">
        <v>18</v>
      </c>
      <c r="AD17" s="110">
        <v>5</v>
      </c>
      <c r="AE17" s="79">
        <v>5</v>
      </c>
      <c r="AF17" s="110">
        <v>15</v>
      </c>
      <c r="AG17" s="111">
        <f>W17+X17+Y17+Z17+AA17+AB17+AC17+AD17+AE17+AF17</f>
        <v>90</v>
      </c>
      <c r="AH17" s="273"/>
      <c r="AI17" s="78">
        <v>13</v>
      </c>
      <c r="AJ17" s="110">
        <v>10</v>
      </c>
      <c r="AK17" s="79">
        <v>20</v>
      </c>
      <c r="AL17" s="110">
        <v>25</v>
      </c>
      <c r="AM17" s="79">
        <v>10</v>
      </c>
      <c r="AN17" s="79">
        <v>15</v>
      </c>
      <c r="AO17" s="110">
        <v>9</v>
      </c>
      <c r="AP17" s="79">
        <v>7</v>
      </c>
      <c r="AQ17" s="110">
        <v>5</v>
      </c>
      <c r="AR17" s="79">
        <f>SUM(AJ17:AQ17)</f>
        <v>101</v>
      </c>
      <c r="AS17" s="18"/>
      <c r="AT17" s="78">
        <v>13</v>
      </c>
      <c r="AU17" s="110">
        <v>100</v>
      </c>
      <c r="AV17" s="75"/>
      <c r="AW17" s="18"/>
      <c r="AX17" s="110">
        <f>AG17</f>
        <v>90</v>
      </c>
      <c r="AY17" s="75"/>
      <c r="AZ17" s="18"/>
      <c r="BA17" s="110">
        <f>U17</f>
        <v>99</v>
      </c>
      <c r="BB17" s="75"/>
      <c r="BC17" s="18"/>
      <c r="BD17" s="76"/>
      <c r="BE17" s="75"/>
      <c r="BF17" s="18"/>
      <c r="BG17" s="78">
        <v>13</v>
      </c>
      <c r="BH17" s="110">
        <f>AR17-1</f>
        <v>100</v>
      </c>
      <c r="BI17" s="75"/>
      <c r="BJ17" s="18"/>
      <c r="BK17" s="110">
        <f>AG17-1</f>
        <v>89</v>
      </c>
      <c r="BL17" s="75"/>
      <c r="BM17" s="18"/>
      <c r="BN17" s="110">
        <f>U17-1</f>
        <v>98</v>
      </c>
      <c r="BO17" s="75"/>
      <c r="BP17" s="18"/>
      <c r="BQ17" s="76"/>
      <c r="BR17" s="75"/>
      <c r="BS17" s="18"/>
      <c r="BT17" s="78">
        <v>13</v>
      </c>
      <c r="BU17" s="110">
        <v>100</v>
      </c>
      <c r="BV17" s="75"/>
      <c r="BW17" s="18"/>
      <c r="BX17" s="110">
        <f>AG17+2</f>
        <v>92</v>
      </c>
      <c r="BY17" s="75"/>
      <c r="BZ17" s="18"/>
      <c r="CA17" s="110">
        <v>100</v>
      </c>
      <c r="CB17" s="75"/>
      <c r="CC17" s="18"/>
      <c r="CD17" s="76"/>
      <c r="CE17" s="75"/>
      <c r="CF17" s="18"/>
      <c r="CG17" s="78">
        <v>13</v>
      </c>
      <c r="CH17" s="110">
        <v>100</v>
      </c>
      <c r="CI17" s="75"/>
      <c r="CJ17" s="18"/>
      <c r="CK17" s="110">
        <f>AG17+1</f>
        <v>91</v>
      </c>
      <c r="CL17" s="75"/>
      <c r="CM17" s="18"/>
      <c r="CN17" s="110">
        <f>U17+1</f>
        <v>100</v>
      </c>
      <c r="CO17" s="75"/>
      <c r="CP17" s="18"/>
      <c r="CQ17" s="76"/>
      <c r="CR17" s="75"/>
      <c r="CS17" s="18"/>
      <c r="CT17" s="78">
        <v>13</v>
      </c>
      <c r="CU17" s="79">
        <f>(AU17+AX17+BA17+BD17)/4</f>
        <v>72.25</v>
      </c>
      <c r="CV17" s="79">
        <f>(BH17+BK17+BN17+BQ17)/4</f>
        <v>71.75</v>
      </c>
      <c r="CW17" s="79">
        <f>(BU17+BX17+CA17+CD17)/4</f>
        <v>73</v>
      </c>
      <c r="CX17" s="79">
        <f>(CH17+CK17+CN17+CQ17)/4</f>
        <v>72.75</v>
      </c>
      <c r="CY17" s="18"/>
      <c r="CZ17" s="80">
        <f>SUM(CU17:CX17)/4</f>
        <v>72.4375</v>
      </c>
      <c r="DA17" s="18"/>
      <c r="DB17" s="79">
        <f>CZ17*0.5</f>
        <v>36.21875</v>
      </c>
      <c r="DC17" s="75"/>
      <c r="DD17" s="79">
        <f>DC17*0.5</f>
        <v>0</v>
      </c>
      <c r="DE17" s="81">
        <f>DD17+DB17</f>
        <v>36.21875</v>
      </c>
      <c r="DF17" s="18"/>
      <c r="DG17" s="79">
        <f>CZ17*0.3</f>
        <v>21.73125</v>
      </c>
      <c r="DH17" s="75"/>
      <c r="DI17" s="79">
        <f>DH17*0.7</f>
        <v>0</v>
      </c>
      <c r="DJ17" s="81">
        <f>DI17+DG17</f>
        <v>21.73125</v>
      </c>
    </row>
    <row r="18" ht="13.5" customHeight="1">
      <c r="A18" s="68"/>
      <c r="B18" s="69">
        <v>14</v>
      </c>
      <c r="C18" t="s" s="70">
        <v>601</v>
      </c>
      <c r="D18" t="s" s="71">
        <v>602</v>
      </c>
      <c r="E18" t="s" s="72">
        <v>43</v>
      </c>
      <c r="F18" s="217"/>
      <c r="G18" t="s" s="113">
        <v>43</v>
      </c>
      <c r="H18" s="274"/>
      <c r="I18" t="s" s="72">
        <v>43</v>
      </c>
      <c r="J18" t="s" s="113">
        <v>43</v>
      </c>
      <c r="K18" t="s" s="210">
        <v>43</v>
      </c>
      <c r="L18" t="s" s="211">
        <v>43</v>
      </c>
      <c r="M18" s="79">
        <v>10</v>
      </c>
      <c r="N18" s="75"/>
      <c r="O18" s="75"/>
      <c r="P18" t="s" s="83">
        <v>603</v>
      </c>
      <c r="Q18" s="75"/>
      <c r="R18" s="75"/>
      <c r="S18" s="75"/>
      <c r="T18" s="79">
        <v>7</v>
      </c>
      <c r="U18" s="75">
        <f>M18+N18+O18+P18+Q18+R18+S18+T18+Y18+Z18+V18</f>
      </c>
      <c r="V18" s="75"/>
      <c r="W18" s="79">
        <v>10</v>
      </c>
      <c r="X18" s="79">
        <v>0</v>
      </c>
      <c r="Y18" s="110">
        <v>8</v>
      </c>
      <c r="Z18" s="79">
        <v>10</v>
      </c>
      <c r="AA18" s="79">
        <v>9</v>
      </c>
      <c r="AB18" s="110">
        <v>0</v>
      </c>
      <c r="AC18" s="79">
        <v>0</v>
      </c>
      <c r="AD18" s="110">
        <v>0</v>
      </c>
      <c r="AE18" s="79">
        <v>0</v>
      </c>
      <c r="AF18" s="110">
        <v>15</v>
      </c>
      <c r="AG18" s="111">
        <f>W18+X18+Y18+Z18+AA18+AB18+AC18+AD18+AE18+AF18</f>
        <v>52</v>
      </c>
      <c r="AH18" s="273"/>
      <c r="AI18" s="78">
        <v>14</v>
      </c>
      <c r="AJ18" s="110">
        <v>10</v>
      </c>
      <c r="AK18" s="79">
        <v>10</v>
      </c>
      <c r="AL18" s="110">
        <v>25</v>
      </c>
      <c r="AM18" s="79">
        <v>0</v>
      </c>
      <c r="AN18" s="79">
        <v>15</v>
      </c>
      <c r="AO18" s="110">
        <v>9</v>
      </c>
      <c r="AP18" s="79">
        <v>0</v>
      </c>
      <c r="AQ18" s="110">
        <v>5</v>
      </c>
      <c r="AR18" s="79">
        <f>SUM(AJ18:AQ18)</f>
        <v>74</v>
      </c>
      <c r="AS18" s="18"/>
      <c r="AT18" s="78">
        <v>14</v>
      </c>
      <c r="AU18" s="110">
        <f>AR18+0</f>
        <v>74</v>
      </c>
      <c r="AV18" s="75"/>
      <c r="AW18" s="18"/>
      <c r="AX18" s="110">
        <f>AG18</f>
        <v>52</v>
      </c>
      <c r="AY18" s="79">
        <v>55</v>
      </c>
      <c r="AZ18" s="18"/>
      <c r="BA18" s="76">
        <f>U18</f>
      </c>
      <c r="BB18" s="75"/>
      <c r="BC18" s="18"/>
      <c r="BD18" s="76"/>
      <c r="BE18" s="75"/>
      <c r="BF18" s="18"/>
      <c r="BG18" s="78">
        <v>14</v>
      </c>
      <c r="BH18" s="110">
        <f>AR18-1</f>
        <v>73</v>
      </c>
      <c r="BI18" s="75"/>
      <c r="BJ18" s="18"/>
      <c r="BK18" s="110">
        <f>AG18-1</f>
        <v>51</v>
      </c>
      <c r="BL18" s="79">
        <v>55</v>
      </c>
      <c r="BM18" s="18"/>
      <c r="BN18" s="76">
        <f>U18-1</f>
      </c>
      <c r="BO18" s="75"/>
      <c r="BP18" s="18"/>
      <c r="BQ18" s="76"/>
      <c r="BR18" s="75"/>
      <c r="BS18" s="18"/>
      <c r="BT18" s="78">
        <v>14</v>
      </c>
      <c r="BU18" s="110">
        <f>AR18+2</f>
        <v>76</v>
      </c>
      <c r="BV18" s="75"/>
      <c r="BW18" s="18"/>
      <c r="BX18" s="110">
        <f>AG18+2</f>
        <v>54</v>
      </c>
      <c r="BY18" s="79">
        <v>55</v>
      </c>
      <c r="BZ18" s="18"/>
      <c r="CA18" s="76">
        <f>U18+2</f>
      </c>
      <c r="CB18" s="75"/>
      <c r="CC18" s="18"/>
      <c r="CD18" s="76"/>
      <c r="CE18" s="75"/>
      <c r="CF18" s="18"/>
      <c r="CG18" s="78">
        <v>14</v>
      </c>
      <c r="CH18" s="110">
        <f>AR18+1</f>
        <v>75</v>
      </c>
      <c r="CI18" s="75"/>
      <c r="CJ18" s="18"/>
      <c r="CK18" s="110">
        <f>AG18+1</f>
        <v>53</v>
      </c>
      <c r="CL18" s="79">
        <v>55</v>
      </c>
      <c r="CM18" s="18"/>
      <c r="CN18" s="76">
        <f>U18+1</f>
      </c>
      <c r="CO18" s="79">
        <v>55</v>
      </c>
      <c r="CP18" s="18"/>
      <c r="CQ18" s="76"/>
      <c r="CR18" s="75"/>
      <c r="CS18" s="18"/>
      <c r="CT18" s="78">
        <v>14</v>
      </c>
      <c r="CU18" s="75">
        <f>(AU18+AX18+BA18+BD18)/4</f>
      </c>
      <c r="CV18" s="75">
        <f>(BH18+BK18+BN18+BQ18)/4</f>
      </c>
      <c r="CW18" s="75">
        <f>(BU18+BX18+CA18+CD18)/4</f>
      </c>
      <c r="CX18" s="75">
        <f>(CH18+CK18+CN18+CQ18)/4</f>
      </c>
      <c r="CY18" s="18"/>
      <c r="CZ18" s="140">
        <f>SUM(CU18:CX18)/4</f>
      </c>
      <c r="DA18" s="18"/>
      <c r="DB18" s="75">
        <f>CZ18*0.5</f>
      </c>
      <c r="DC18" s="75"/>
      <c r="DD18" s="79">
        <f>DC18*0.5</f>
        <v>0</v>
      </c>
      <c r="DE18" s="141">
        <f>DD18+DB18</f>
      </c>
      <c r="DF18" s="18"/>
      <c r="DG18" s="75">
        <f>CZ18*0.3</f>
      </c>
      <c r="DH18" s="75"/>
      <c r="DI18" s="79">
        <f>DH18*0.7</f>
        <v>0</v>
      </c>
      <c r="DJ18" s="141">
        <f>DI18+DG18</f>
      </c>
    </row>
    <row r="19" ht="13.5" customHeight="1">
      <c r="A19" s="68"/>
      <c r="B19" s="69">
        <v>15</v>
      </c>
      <c r="C19" t="s" s="70">
        <v>92</v>
      </c>
      <c r="D19" t="s" s="71">
        <v>604</v>
      </c>
      <c r="E19" t="s" s="72">
        <v>43</v>
      </c>
      <c r="F19" s="217"/>
      <c r="G19" t="s" s="113">
        <v>43</v>
      </c>
      <c r="H19" s="274"/>
      <c r="I19" t="s" s="72">
        <v>43</v>
      </c>
      <c r="J19" t="s" s="113">
        <v>43</v>
      </c>
      <c r="K19" t="s" s="210">
        <v>162</v>
      </c>
      <c r="L19" t="s" s="211">
        <v>43</v>
      </c>
      <c r="M19" s="79">
        <v>10</v>
      </c>
      <c r="N19" s="79">
        <v>10</v>
      </c>
      <c r="O19" s="79">
        <v>8</v>
      </c>
      <c r="P19" s="79">
        <v>1</v>
      </c>
      <c r="Q19" s="79">
        <v>0</v>
      </c>
      <c r="R19" s="75"/>
      <c r="S19" s="75"/>
      <c r="T19" s="79">
        <v>7</v>
      </c>
      <c r="U19" s="79">
        <f>M19+N19+O19+P19+Q19+R19+S19+T19+Y19+Z19+V19</f>
        <v>54</v>
      </c>
      <c r="V19" s="75"/>
      <c r="W19" s="79">
        <v>10</v>
      </c>
      <c r="X19" s="79">
        <v>10</v>
      </c>
      <c r="Y19" s="110">
        <v>9</v>
      </c>
      <c r="Z19" s="79">
        <v>9</v>
      </c>
      <c r="AA19" s="79">
        <v>10</v>
      </c>
      <c r="AB19" s="110">
        <v>8</v>
      </c>
      <c r="AC19" s="79">
        <v>9</v>
      </c>
      <c r="AD19" s="110">
        <v>0</v>
      </c>
      <c r="AE19" s="79">
        <v>5</v>
      </c>
      <c r="AF19" s="110">
        <v>15</v>
      </c>
      <c r="AG19" s="111">
        <f>W19+X19+Y19+Z19+AA19+AB19+AC19+AD19+AE19+AF19</f>
        <v>85</v>
      </c>
      <c r="AH19" s="273"/>
      <c r="AI19" s="78">
        <v>15</v>
      </c>
      <c r="AJ19" s="110">
        <v>10</v>
      </c>
      <c r="AK19" s="79">
        <v>9</v>
      </c>
      <c r="AL19" s="110">
        <v>25</v>
      </c>
      <c r="AM19" s="79">
        <v>10</v>
      </c>
      <c r="AN19" s="79">
        <v>0</v>
      </c>
      <c r="AO19" s="110">
        <v>8</v>
      </c>
      <c r="AP19" s="79">
        <v>0</v>
      </c>
      <c r="AQ19" s="110">
        <v>5</v>
      </c>
      <c r="AR19" s="79">
        <f>SUM(AJ19:AQ19)</f>
        <v>67</v>
      </c>
      <c r="AS19" s="112">
        <v>75</v>
      </c>
      <c r="AT19" s="78">
        <v>15</v>
      </c>
      <c r="AU19" s="110">
        <f>AR19+0</f>
        <v>67</v>
      </c>
      <c r="AV19" s="79">
        <v>75</v>
      </c>
      <c r="AW19" s="18"/>
      <c r="AX19" s="110">
        <f>AG19</f>
        <v>85</v>
      </c>
      <c r="AY19" s="75"/>
      <c r="AZ19" s="18"/>
      <c r="BA19" s="110">
        <f>U19</f>
        <v>54</v>
      </c>
      <c r="BB19" s="75"/>
      <c r="BC19" s="18"/>
      <c r="BD19" s="76"/>
      <c r="BE19" s="75"/>
      <c r="BF19" s="18"/>
      <c r="BG19" s="78">
        <v>15</v>
      </c>
      <c r="BH19" s="110">
        <f>AR19-1</f>
        <v>66</v>
      </c>
      <c r="BI19" s="79">
        <v>75</v>
      </c>
      <c r="BJ19" s="18"/>
      <c r="BK19" s="110">
        <f>AG19-1</f>
        <v>84</v>
      </c>
      <c r="BL19" s="75"/>
      <c r="BM19" s="18"/>
      <c r="BN19" s="110">
        <f>U19-1</f>
        <v>53</v>
      </c>
      <c r="BO19" s="75"/>
      <c r="BP19" s="18"/>
      <c r="BQ19" s="76"/>
      <c r="BR19" s="75"/>
      <c r="BS19" s="18"/>
      <c r="BT19" s="78">
        <v>15</v>
      </c>
      <c r="BU19" s="110">
        <f>AR19+2</f>
        <v>69</v>
      </c>
      <c r="BV19" s="79">
        <v>75</v>
      </c>
      <c r="BW19" s="18"/>
      <c r="BX19" s="110">
        <f>AG19+2</f>
        <v>87</v>
      </c>
      <c r="BY19" s="75"/>
      <c r="BZ19" s="18"/>
      <c r="CA19" s="110">
        <f>U19+2</f>
        <v>56</v>
      </c>
      <c r="CB19" s="75"/>
      <c r="CC19" s="18"/>
      <c r="CD19" s="76"/>
      <c r="CE19" s="75"/>
      <c r="CF19" s="18"/>
      <c r="CG19" s="78">
        <v>15</v>
      </c>
      <c r="CH19" s="110">
        <f>AR19+1</f>
        <v>68</v>
      </c>
      <c r="CI19" s="79">
        <v>75</v>
      </c>
      <c r="CJ19" s="18"/>
      <c r="CK19" s="110">
        <f>AG19+1</f>
        <v>86</v>
      </c>
      <c r="CL19" s="75"/>
      <c r="CM19" s="18"/>
      <c r="CN19" s="110">
        <f>U19+1</f>
        <v>55</v>
      </c>
      <c r="CO19" s="75"/>
      <c r="CP19" s="18"/>
      <c r="CQ19" s="76"/>
      <c r="CR19" s="75"/>
      <c r="CS19" s="18"/>
      <c r="CT19" s="78">
        <v>15</v>
      </c>
      <c r="CU19" s="79">
        <f>(AU19+AX19+BA19+BD19)/4</f>
        <v>51.5</v>
      </c>
      <c r="CV19" s="79">
        <f>(BH19+BK19+BN19+BQ19)/4</f>
        <v>50.75</v>
      </c>
      <c r="CW19" s="79">
        <f>(BU19+BX19+CA19+CD19)/4</f>
        <v>53</v>
      </c>
      <c r="CX19" s="79">
        <f>(CH19+CK19+CN19+CQ19)/4</f>
        <v>52.25</v>
      </c>
      <c r="CY19" s="18"/>
      <c r="CZ19" s="80">
        <f>SUM(CU19:CX19)/4</f>
        <v>51.875</v>
      </c>
      <c r="DA19" s="18"/>
      <c r="DB19" s="79">
        <f>CZ19*0.5</f>
        <v>25.9375</v>
      </c>
      <c r="DC19" s="75"/>
      <c r="DD19" s="79">
        <f>DC19*0.5</f>
        <v>0</v>
      </c>
      <c r="DE19" s="81">
        <f>DD19+DB19</f>
        <v>25.9375</v>
      </c>
      <c r="DF19" s="18"/>
      <c r="DG19" s="79">
        <f>CZ19*0.3</f>
        <v>15.5625</v>
      </c>
      <c r="DH19" s="75"/>
      <c r="DI19" s="79">
        <f>DH19*0.7</f>
        <v>0</v>
      </c>
      <c r="DJ19" s="81">
        <f>DI19+DG19</f>
        <v>15.5625</v>
      </c>
    </row>
    <row r="20" ht="13.5" customHeight="1">
      <c r="A20" s="68"/>
      <c r="B20" s="69">
        <v>16</v>
      </c>
      <c r="C20" t="s" s="70">
        <v>605</v>
      </c>
      <c r="D20" t="s" s="71">
        <v>606</v>
      </c>
      <c r="E20" t="s" s="72">
        <v>43</v>
      </c>
      <c r="F20" s="217"/>
      <c r="G20" t="s" s="113">
        <v>43</v>
      </c>
      <c r="H20" s="274"/>
      <c r="I20" t="s" s="72">
        <v>162</v>
      </c>
      <c r="J20" t="s" s="113">
        <v>43</v>
      </c>
      <c r="K20" t="s" s="210">
        <v>43</v>
      </c>
      <c r="L20" t="s" s="211">
        <v>162</v>
      </c>
      <c r="M20" s="79">
        <v>10</v>
      </c>
      <c r="N20" s="79">
        <v>15</v>
      </c>
      <c r="O20" s="79">
        <v>7</v>
      </c>
      <c r="P20" s="79">
        <v>1</v>
      </c>
      <c r="Q20" s="79">
        <v>37</v>
      </c>
      <c r="R20" s="75"/>
      <c r="S20" s="75"/>
      <c r="T20" s="79">
        <v>7</v>
      </c>
      <c r="U20" s="79">
        <f>M20+N20+O20+P20+Q20+R20+S20+T20+Y20+Z20+V20</f>
        <v>95</v>
      </c>
      <c r="V20" s="75"/>
      <c r="W20" s="79">
        <v>10</v>
      </c>
      <c r="X20" s="79">
        <v>10</v>
      </c>
      <c r="Y20" s="110">
        <v>9</v>
      </c>
      <c r="Z20" s="79">
        <v>9</v>
      </c>
      <c r="AA20" s="79">
        <v>8</v>
      </c>
      <c r="AB20" s="110">
        <v>8</v>
      </c>
      <c r="AC20" s="79">
        <v>6</v>
      </c>
      <c r="AD20" s="110">
        <v>0</v>
      </c>
      <c r="AE20" s="79">
        <v>0</v>
      </c>
      <c r="AF20" s="110">
        <v>15</v>
      </c>
      <c r="AG20" s="111">
        <f>W20+X20+Y20+Z20+AA20+AB20+AC20+AD20+AE20+AF20</f>
        <v>75</v>
      </c>
      <c r="AH20" s="273"/>
      <c r="AI20" s="78">
        <v>16</v>
      </c>
      <c r="AJ20" s="110">
        <v>10</v>
      </c>
      <c r="AK20" s="75"/>
      <c r="AL20" s="110">
        <v>25</v>
      </c>
      <c r="AM20" s="75"/>
      <c r="AN20" s="75"/>
      <c r="AO20" s="110">
        <v>8</v>
      </c>
      <c r="AP20" s="75"/>
      <c r="AQ20" s="110">
        <v>5</v>
      </c>
      <c r="AR20" s="79">
        <f>SUM(AJ20:AQ20)</f>
        <v>48</v>
      </c>
      <c r="AS20" s="18"/>
      <c r="AT20" s="78">
        <v>16</v>
      </c>
      <c r="AU20" s="110">
        <f>AR20+0</f>
        <v>48</v>
      </c>
      <c r="AV20" s="79">
        <v>70</v>
      </c>
      <c r="AW20" s="18"/>
      <c r="AX20" s="110">
        <f>AG20</f>
        <v>75</v>
      </c>
      <c r="AY20" s="75"/>
      <c r="AZ20" s="18"/>
      <c r="BA20" s="110">
        <f>U20</f>
        <v>95</v>
      </c>
      <c r="BB20" s="75"/>
      <c r="BC20" s="18"/>
      <c r="BD20" s="76"/>
      <c r="BE20" s="75"/>
      <c r="BF20" s="18"/>
      <c r="BG20" s="78">
        <v>16</v>
      </c>
      <c r="BH20" s="110">
        <f>AR20-1</f>
        <v>47</v>
      </c>
      <c r="BI20" s="79">
        <v>70</v>
      </c>
      <c r="BJ20" s="18"/>
      <c r="BK20" s="110">
        <f>AG20-1</f>
        <v>74</v>
      </c>
      <c r="BL20" s="75"/>
      <c r="BM20" s="18"/>
      <c r="BN20" s="110">
        <f>U20-1</f>
        <v>94</v>
      </c>
      <c r="BO20" s="75"/>
      <c r="BP20" s="18"/>
      <c r="BQ20" s="76"/>
      <c r="BR20" s="75"/>
      <c r="BS20" s="18"/>
      <c r="BT20" s="78">
        <v>16</v>
      </c>
      <c r="BU20" s="110">
        <f>AR20+2</f>
        <v>50</v>
      </c>
      <c r="BV20" s="79">
        <v>70</v>
      </c>
      <c r="BW20" s="18"/>
      <c r="BX20" s="110">
        <f>AG20+2</f>
        <v>77</v>
      </c>
      <c r="BY20" s="75"/>
      <c r="BZ20" s="18"/>
      <c r="CA20" s="110">
        <f>U20+2</f>
        <v>97</v>
      </c>
      <c r="CB20" s="75"/>
      <c r="CC20" s="18"/>
      <c r="CD20" s="76"/>
      <c r="CE20" s="75"/>
      <c r="CF20" s="18"/>
      <c r="CG20" s="78">
        <v>16</v>
      </c>
      <c r="CH20" s="110">
        <f>AR20+1</f>
        <v>49</v>
      </c>
      <c r="CI20" s="79">
        <v>70</v>
      </c>
      <c r="CJ20" s="18"/>
      <c r="CK20" s="110">
        <f>AG20+1</f>
        <v>76</v>
      </c>
      <c r="CL20" s="75"/>
      <c r="CM20" s="18"/>
      <c r="CN20" s="110">
        <f>U20+1</f>
        <v>96</v>
      </c>
      <c r="CO20" s="75"/>
      <c r="CP20" s="18"/>
      <c r="CQ20" s="76"/>
      <c r="CR20" s="75"/>
      <c r="CS20" s="18"/>
      <c r="CT20" s="78">
        <v>16</v>
      </c>
      <c r="CU20" s="79">
        <f>(AU20+AX20+BA20+BD20)/4</f>
        <v>54.5</v>
      </c>
      <c r="CV20" s="79">
        <f>(BH20+BK20+BN20+BQ20)/4</f>
        <v>53.75</v>
      </c>
      <c r="CW20" s="79">
        <f>(BU20+BX20+CA20+CD20)/4</f>
        <v>56</v>
      </c>
      <c r="CX20" s="79">
        <f>(CH20+CK20+CN20+CQ20)/4</f>
        <v>55.25</v>
      </c>
      <c r="CY20" s="18"/>
      <c r="CZ20" s="80">
        <f>SUM(CU20:CX20)/4</f>
        <v>54.875</v>
      </c>
      <c r="DA20" s="18"/>
      <c r="DB20" s="79">
        <f>CZ20*0.5</f>
        <v>27.4375</v>
      </c>
      <c r="DC20" s="75"/>
      <c r="DD20" s="79">
        <f>DC20*0.5</f>
        <v>0</v>
      </c>
      <c r="DE20" s="81">
        <f>DD20+DB20</f>
        <v>27.4375</v>
      </c>
      <c r="DF20" s="18"/>
      <c r="DG20" s="79">
        <f>CZ20*0.3</f>
        <v>16.4625</v>
      </c>
      <c r="DH20" s="75"/>
      <c r="DI20" s="79">
        <f>DH20*0.7</f>
        <v>0</v>
      </c>
      <c r="DJ20" s="81">
        <f>DI20+DG20</f>
        <v>16.4625</v>
      </c>
    </row>
    <row r="21" ht="13.5" customHeight="1">
      <c r="A21" s="68"/>
      <c r="B21" s="69">
        <v>17</v>
      </c>
      <c r="C21" t="s" s="70">
        <v>607</v>
      </c>
      <c r="D21" t="s" s="71">
        <v>608</v>
      </c>
      <c r="E21" t="s" s="72">
        <v>43</v>
      </c>
      <c r="F21" s="217"/>
      <c r="G21" t="s" s="113">
        <v>43</v>
      </c>
      <c r="H21" s="274"/>
      <c r="I21" t="s" s="72">
        <v>43</v>
      </c>
      <c r="J21" t="s" s="113">
        <v>43</v>
      </c>
      <c r="K21" t="s" s="210">
        <v>43</v>
      </c>
      <c r="L21" t="s" s="211">
        <v>43</v>
      </c>
      <c r="M21" s="79">
        <v>10</v>
      </c>
      <c r="N21" s="79">
        <v>10</v>
      </c>
      <c r="O21" s="79">
        <v>18</v>
      </c>
      <c r="P21" s="75"/>
      <c r="Q21" s="79">
        <v>38</v>
      </c>
      <c r="R21" s="75"/>
      <c r="S21" s="75"/>
      <c r="T21" s="79">
        <v>7</v>
      </c>
      <c r="U21" s="79">
        <f>M21+N21+O21+P21+Q21+R21+S21+T21+Y21+Z21+V21</f>
        <v>103</v>
      </c>
      <c r="V21" s="75"/>
      <c r="W21" s="79">
        <v>10</v>
      </c>
      <c r="X21" s="79">
        <v>10</v>
      </c>
      <c r="Y21" s="110">
        <v>10</v>
      </c>
      <c r="Z21" s="79">
        <v>10</v>
      </c>
      <c r="AA21" s="79">
        <v>10</v>
      </c>
      <c r="AB21" s="110">
        <v>10</v>
      </c>
      <c r="AC21" s="79">
        <v>20</v>
      </c>
      <c r="AD21" s="110">
        <v>5</v>
      </c>
      <c r="AE21" s="79">
        <v>5</v>
      </c>
      <c r="AF21" s="110">
        <v>15</v>
      </c>
      <c r="AG21" s="111">
        <f>W21+X21+Y21+Z21+AA21+AB21+AC21+AD21+AE21+AF21</f>
        <v>105</v>
      </c>
      <c r="AH21" s="273"/>
      <c r="AI21" s="78">
        <v>17</v>
      </c>
      <c r="AJ21" s="110">
        <v>10</v>
      </c>
      <c r="AK21" s="79">
        <v>19</v>
      </c>
      <c r="AL21" s="110">
        <v>25</v>
      </c>
      <c r="AM21" s="79">
        <v>10</v>
      </c>
      <c r="AN21" s="79">
        <v>14</v>
      </c>
      <c r="AO21" s="110">
        <v>10</v>
      </c>
      <c r="AP21" s="79">
        <v>10</v>
      </c>
      <c r="AQ21" s="110">
        <v>5</v>
      </c>
      <c r="AR21" s="79">
        <f>SUM(AJ21:AQ21)</f>
        <v>103</v>
      </c>
      <c r="AS21" s="18"/>
      <c r="AT21" s="78">
        <v>17</v>
      </c>
      <c r="AU21" s="110">
        <v>100</v>
      </c>
      <c r="AV21" s="75"/>
      <c r="AW21" s="18"/>
      <c r="AX21" s="110">
        <v>100</v>
      </c>
      <c r="AY21" s="75"/>
      <c r="AZ21" s="18"/>
      <c r="BA21" s="110">
        <v>100</v>
      </c>
      <c r="BB21" s="75"/>
      <c r="BC21" s="18"/>
      <c r="BD21" s="76"/>
      <c r="BE21" s="75"/>
      <c r="BF21" s="18"/>
      <c r="BG21" s="78">
        <v>17</v>
      </c>
      <c r="BH21" s="110">
        <v>100</v>
      </c>
      <c r="BI21" s="75"/>
      <c r="BJ21" s="18"/>
      <c r="BK21" s="110">
        <v>100</v>
      </c>
      <c r="BL21" s="75"/>
      <c r="BM21" s="18"/>
      <c r="BN21" s="110">
        <v>100</v>
      </c>
      <c r="BO21" s="75"/>
      <c r="BP21" s="18"/>
      <c r="BQ21" s="76"/>
      <c r="BR21" s="75"/>
      <c r="BS21" s="18"/>
      <c r="BT21" s="78">
        <v>17</v>
      </c>
      <c r="BU21" s="110">
        <v>100</v>
      </c>
      <c r="BV21" s="75"/>
      <c r="BW21" s="18"/>
      <c r="BX21" s="110">
        <v>100</v>
      </c>
      <c r="BY21" s="75"/>
      <c r="BZ21" s="18"/>
      <c r="CA21" s="110">
        <v>100</v>
      </c>
      <c r="CB21" s="75"/>
      <c r="CC21" s="18"/>
      <c r="CD21" s="76"/>
      <c r="CE21" s="75"/>
      <c r="CF21" s="18"/>
      <c r="CG21" s="78">
        <v>17</v>
      </c>
      <c r="CH21" s="110">
        <v>100</v>
      </c>
      <c r="CI21" s="75"/>
      <c r="CJ21" s="18"/>
      <c r="CK21" s="110">
        <v>100</v>
      </c>
      <c r="CL21" s="75"/>
      <c r="CM21" s="18"/>
      <c r="CN21" s="110">
        <v>100</v>
      </c>
      <c r="CO21" s="75"/>
      <c r="CP21" s="18"/>
      <c r="CQ21" s="76"/>
      <c r="CR21" s="75"/>
      <c r="CS21" s="18"/>
      <c r="CT21" s="78">
        <v>17</v>
      </c>
      <c r="CU21" s="79">
        <f>(AU21+AX21+BA21+BD21)/4</f>
        <v>75</v>
      </c>
      <c r="CV21" s="79">
        <f>(BH21+BK21+BN21+BQ21)/4</f>
        <v>75</v>
      </c>
      <c r="CW21" s="79">
        <f>(BU21+BX21+CA21+CD21)/4</f>
        <v>75</v>
      </c>
      <c r="CX21" s="79">
        <f>(CH21+CK21+CN21+CQ21)/4</f>
        <v>75</v>
      </c>
      <c r="CY21" s="18"/>
      <c r="CZ21" s="80">
        <f>SUM(CU21:CX21)/4</f>
        <v>75</v>
      </c>
      <c r="DA21" s="18"/>
      <c r="DB21" s="79">
        <f>CZ21*0.5</f>
        <v>37.5</v>
      </c>
      <c r="DC21" s="75"/>
      <c r="DD21" s="79">
        <f>DC21*0.5</f>
        <v>0</v>
      </c>
      <c r="DE21" s="81">
        <f>DD21+DB21</f>
        <v>37.5</v>
      </c>
      <c r="DF21" s="18"/>
      <c r="DG21" s="79">
        <f>CZ21*0.3</f>
        <v>22.5</v>
      </c>
      <c r="DH21" s="75"/>
      <c r="DI21" s="79">
        <f>DH21*0.7</f>
        <v>0</v>
      </c>
      <c r="DJ21" s="81">
        <f>DI21+DG21</f>
        <v>22.5</v>
      </c>
    </row>
    <row r="22" ht="13.5" customHeight="1">
      <c r="A22" s="68"/>
      <c r="B22" s="69">
        <v>18</v>
      </c>
      <c r="C22" t="s" s="70">
        <v>609</v>
      </c>
      <c r="D22" t="s" s="71">
        <v>610</v>
      </c>
      <c r="E22" t="s" s="72">
        <v>43</v>
      </c>
      <c r="F22" s="217"/>
      <c r="G22" t="s" s="113">
        <v>43</v>
      </c>
      <c r="H22" s="274"/>
      <c r="I22" t="s" s="72">
        <v>43</v>
      </c>
      <c r="J22" t="s" s="113">
        <v>43</v>
      </c>
      <c r="K22" t="s" s="210">
        <v>162</v>
      </c>
      <c r="L22" t="s" s="211">
        <v>43</v>
      </c>
      <c r="M22" s="79">
        <v>10</v>
      </c>
      <c r="N22" s="79">
        <v>18</v>
      </c>
      <c r="O22" s="79">
        <v>10</v>
      </c>
      <c r="P22" s="79">
        <v>9</v>
      </c>
      <c r="Q22" s="79">
        <v>6</v>
      </c>
      <c r="R22" s="79">
        <v>7</v>
      </c>
      <c r="S22" s="79">
        <v>8</v>
      </c>
      <c r="T22" s="79">
        <v>7</v>
      </c>
      <c r="U22" s="79">
        <f>M22+N22+O22+P22+Q22+R22+S22+T22+Y22+Z22+V22</f>
        <v>92</v>
      </c>
      <c r="V22" s="75"/>
      <c r="W22" s="79">
        <v>10</v>
      </c>
      <c r="X22" s="79">
        <v>0</v>
      </c>
      <c r="Y22" s="110">
        <v>8</v>
      </c>
      <c r="Z22" s="79">
        <v>9</v>
      </c>
      <c r="AA22" s="79">
        <v>5</v>
      </c>
      <c r="AB22" s="110">
        <v>7</v>
      </c>
      <c r="AC22" s="79">
        <v>18</v>
      </c>
      <c r="AD22" s="110">
        <v>5</v>
      </c>
      <c r="AE22" s="79">
        <v>0</v>
      </c>
      <c r="AF22" s="110">
        <v>15</v>
      </c>
      <c r="AG22" s="111">
        <f>W22+X22+Y22+Z22+AA22+AB22+AC22+AD22+AE22+AF22</f>
        <v>77</v>
      </c>
      <c r="AH22" s="273"/>
      <c r="AI22" s="78">
        <v>18</v>
      </c>
      <c r="AJ22" s="110">
        <v>10</v>
      </c>
      <c r="AK22" s="79">
        <v>17</v>
      </c>
      <c r="AL22" s="110">
        <v>25</v>
      </c>
      <c r="AM22" s="79">
        <v>10</v>
      </c>
      <c r="AN22" s="79">
        <v>5</v>
      </c>
      <c r="AO22" s="110">
        <v>9</v>
      </c>
      <c r="AP22" s="79">
        <v>7</v>
      </c>
      <c r="AQ22" s="110">
        <v>5</v>
      </c>
      <c r="AR22" s="79">
        <f>SUM(AJ22:AQ22)</f>
        <v>88</v>
      </c>
      <c r="AS22" s="18"/>
      <c r="AT22" s="78">
        <v>18</v>
      </c>
      <c r="AU22" s="110">
        <f>AR22+0</f>
        <v>88</v>
      </c>
      <c r="AV22" s="75"/>
      <c r="AW22" s="18"/>
      <c r="AX22" s="110">
        <f>AG22</f>
        <v>77</v>
      </c>
      <c r="AY22" s="75"/>
      <c r="AZ22" s="18"/>
      <c r="BA22" s="110">
        <f>U22</f>
        <v>92</v>
      </c>
      <c r="BB22" s="75"/>
      <c r="BC22" s="18"/>
      <c r="BD22" s="76"/>
      <c r="BE22" s="75"/>
      <c r="BF22" s="18"/>
      <c r="BG22" s="78">
        <v>18</v>
      </c>
      <c r="BH22" s="110">
        <f>AR22-1</f>
        <v>87</v>
      </c>
      <c r="BI22" s="75"/>
      <c r="BJ22" s="18"/>
      <c r="BK22" s="110">
        <f>AG22-1</f>
        <v>76</v>
      </c>
      <c r="BL22" s="75"/>
      <c r="BM22" s="18"/>
      <c r="BN22" s="110">
        <f>U22-1</f>
        <v>91</v>
      </c>
      <c r="BO22" s="75"/>
      <c r="BP22" s="18"/>
      <c r="BQ22" s="76"/>
      <c r="BR22" s="75"/>
      <c r="BS22" s="18"/>
      <c r="BT22" s="78">
        <v>18</v>
      </c>
      <c r="BU22" s="110">
        <f>AR22+2</f>
        <v>90</v>
      </c>
      <c r="BV22" s="75"/>
      <c r="BW22" s="18"/>
      <c r="BX22" s="110">
        <f>AG22+2</f>
        <v>79</v>
      </c>
      <c r="BY22" s="75"/>
      <c r="BZ22" s="18"/>
      <c r="CA22" s="110">
        <f>U22+2</f>
        <v>94</v>
      </c>
      <c r="CB22" s="75"/>
      <c r="CC22" s="18"/>
      <c r="CD22" s="76"/>
      <c r="CE22" s="75"/>
      <c r="CF22" s="18"/>
      <c r="CG22" s="78">
        <v>18</v>
      </c>
      <c r="CH22" s="110">
        <f>AR22+1</f>
        <v>89</v>
      </c>
      <c r="CI22" s="75"/>
      <c r="CJ22" s="18"/>
      <c r="CK22" s="110">
        <f>AG22+1</f>
        <v>78</v>
      </c>
      <c r="CL22" s="75"/>
      <c r="CM22" s="18"/>
      <c r="CN22" s="110">
        <f>U22+1</f>
        <v>93</v>
      </c>
      <c r="CO22" s="75"/>
      <c r="CP22" s="18"/>
      <c r="CQ22" s="76"/>
      <c r="CR22" s="75"/>
      <c r="CS22" s="18"/>
      <c r="CT22" s="78">
        <v>18</v>
      </c>
      <c r="CU22" s="79">
        <f>(AU22+AX22+BA22+BD22)/4</f>
        <v>64.25</v>
      </c>
      <c r="CV22" s="79">
        <f>(BH22+BK22+BN22+BQ22)/4</f>
        <v>63.5</v>
      </c>
      <c r="CW22" s="79">
        <f>(BU22+BX22+CA22+CD22)/4</f>
        <v>65.75</v>
      </c>
      <c r="CX22" s="79">
        <f>(CH22+CK22+CN22+CQ22)/4</f>
        <v>65</v>
      </c>
      <c r="CY22" s="18"/>
      <c r="CZ22" s="80">
        <f>SUM(CU22:CX22)/4</f>
        <v>64.625</v>
      </c>
      <c r="DA22" s="18"/>
      <c r="DB22" s="79">
        <f>CZ22*0.5</f>
        <v>32.3125</v>
      </c>
      <c r="DC22" s="75"/>
      <c r="DD22" s="79">
        <f>DC22*0.5</f>
        <v>0</v>
      </c>
      <c r="DE22" s="81">
        <f>DD22+DB22</f>
        <v>32.3125</v>
      </c>
      <c r="DF22" s="18"/>
      <c r="DG22" s="79">
        <f>CZ22*0.3</f>
        <v>19.3875</v>
      </c>
      <c r="DH22" s="75"/>
      <c r="DI22" s="79">
        <f>DH22*0.7</f>
        <v>0</v>
      </c>
      <c r="DJ22" s="81">
        <f>DI22+DG22</f>
        <v>19.3875</v>
      </c>
    </row>
    <row r="23" ht="13.5" customHeight="1">
      <c r="A23" s="68"/>
      <c r="B23" s="69">
        <v>19</v>
      </c>
      <c r="C23" t="s" s="70">
        <v>611</v>
      </c>
      <c r="D23" t="s" s="71">
        <v>612</v>
      </c>
      <c r="E23" t="s" s="72">
        <v>43</v>
      </c>
      <c r="F23" s="224"/>
      <c r="G23" t="s" s="113">
        <v>43</v>
      </c>
      <c r="H23" s="276"/>
      <c r="I23" t="s" s="72">
        <v>43</v>
      </c>
      <c r="J23" t="s" s="113">
        <v>43</v>
      </c>
      <c r="K23" t="s" s="210">
        <v>43</v>
      </c>
      <c r="L23" t="s" s="211">
        <v>43</v>
      </c>
      <c r="M23" s="79">
        <v>10</v>
      </c>
      <c r="N23" s="79">
        <v>18</v>
      </c>
      <c r="O23" s="79">
        <v>6</v>
      </c>
      <c r="P23" s="79">
        <v>8</v>
      </c>
      <c r="Q23" s="79">
        <v>10</v>
      </c>
      <c r="R23" s="79">
        <v>9</v>
      </c>
      <c r="S23" s="79">
        <v>10</v>
      </c>
      <c r="T23" s="277">
        <v>7</v>
      </c>
      <c r="U23" s="277">
        <f>M23+N23+O23+P23+Q23+R23+S23+T23+Y23+Z23+V23</f>
        <v>97</v>
      </c>
      <c r="V23" s="278"/>
      <c r="W23" s="277">
        <v>10</v>
      </c>
      <c r="X23" s="277">
        <v>9</v>
      </c>
      <c r="Y23" s="110">
        <v>9</v>
      </c>
      <c r="Z23" s="79">
        <v>10</v>
      </c>
      <c r="AA23" s="79">
        <v>9</v>
      </c>
      <c r="AB23" s="110">
        <v>20</v>
      </c>
      <c r="AC23" s="79">
        <v>10</v>
      </c>
      <c r="AD23" s="76"/>
      <c r="AE23" s="75"/>
      <c r="AF23" s="110">
        <v>15</v>
      </c>
      <c r="AG23" s="111">
        <f>W23+X23+Y23+Z23+AA23+AB23+AC23+AD23+AE23+AF23</f>
        <v>92</v>
      </c>
      <c r="AH23" s="273"/>
      <c r="AI23" s="78">
        <v>19</v>
      </c>
      <c r="AJ23" s="110">
        <v>10</v>
      </c>
      <c r="AK23" s="79">
        <v>20</v>
      </c>
      <c r="AL23" s="110">
        <v>25</v>
      </c>
      <c r="AM23" s="79">
        <v>10</v>
      </c>
      <c r="AN23" s="79">
        <v>14</v>
      </c>
      <c r="AO23" s="110">
        <v>10</v>
      </c>
      <c r="AP23" s="75"/>
      <c r="AQ23" s="110">
        <v>5</v>
      </c>
      <c r="AR23" s="79">
        <f>SUM(AJ23:AQ23)</f>
        <v>94</v>
      </c>
      <c r="AS23" s="18"/>
      <c r="AT23" s="78">
        <v>19</v>
      </c>
      <c r="AU23" s="110">
        <f>AR23+0</f>
        <v>94</v>
      </c>
      <c r="AV23" s="75"/>
      <c r="AW23" s="18"/>
      <c r="AX23" s="110">
        <f>AG23</f>
        <v>92</v>
      </c>
      <c r="AY23" s="75"/>
      <c r="AZ23" s="18"/>
      <c r="BA23" s="110">
        <f>U23</f>
        <v>97</v>
      </c>
      <c r="BB23" s="75"/>
      <c r="BC23" s="18"/>
      <c r="BD23" s="76"/>
      <c r="BE23" s="75"/>
      <c r="BF23" s="18"/>
      <c r="BG23" s="78">
        <v>19</v>
      </c>
      <c r="BH23" s="110">
        <f>AR23-1</f>
        <v>93</v>
      </c>
      <c r="BI23" s="75"/>
      <c r="BJ23" s="18"/>
      <c r="BK23" s="110">
        <f>AG23-1</f>
        <v>91</v>
      </c>
      <c r="BL23" s="75"/>
      <c r="BM23" s="18"/>
      <c r="BN23" s="110">
        <f>U23-1</f>
        <v>96</v>
      </c>
      <c r="BO23" s="75"/>
      <c r="BP23" s="18"/>
      <c r="BQ23" s="76"/>
      <c r="BR23" s="75"/>
      <c r="BS23" s="18"/>
      <c r="BT23" s="78">
        <v>19</v>
      </c>
      <c r="BU23" s="110">
        <f>AR23+2</f>
        <v>96</v>
      </c>
      <c r="BV23" s="75"/>
      <c r="BW23" s="18"/>
      <c r="BX23" s="110">
        <f>AG23+2</f>
        <v>94</v>
      </c>
      <c r="BY23" s="75"/>
      <c r="BZ23" s="18"/>
      <c r="CA23" s="110">
        <f>U23+2</f>
        <v>99</v>
      </c>
      <c r="CB23" s="75"/>
      <c r="CC23" s="18"/>
      <c r="CD23" s="76"/>
      <c r="CE23" s="75"/>
      <c r="CF23" s="18"/>
      <c r="CG23" s="78">
        <v>19</v>
      </c>
      <c r="CH23" s="110">
        <f>AR23+1</f>
        <v>95</v>
      </c>
      <c r="CI23" s="75"/>
      <c r="CJ23" s="18"/>
      <c r="CK23" s="110">
        <f>AG23+1</f>
        <v>93</v>
      </c>
      <c r="CL23" s="75"/>
      <c r="CM23" s="18"/>
      <c r="CN23" s="110">
        <f>U23+1</f>
        <v>98</v>
      </c>
      <c r="CO23" s="75"/>
      <c r="CP23" s="18"/>
      <c r="CQ23" s="76"/>
      <c r="CR23" s="75"/>
      <c r="CS23" s="18"/>
      <c r="CT23" s="78">
        <v>19</v>
      </c>
      <c r="CU23" s="79">
        <f>(AU23+AX23+BA23+BD23)/4</f>
        <v>70.75</v>
      </c>
      <c r="CV23" s="79">
        <f>(BH23+BK23+BN23+BQ23)/4</f>
        <v>70</v>
      </c>
      <c r="CW23" s="79">
        <f>(BU23+BX23+CA23+CD23)/4</f>
        <v>72.25</v>
      </c>
      <c r="CX23" s="79">
        <f>(CH23+CK23+CN23+CQ23)/4</f>
        <v>71.5</v>
      </c>
      <c r="CY23" s="18"/>
      <c r="CZ23" s="80">
        <f>SUM(CU23:CX23)/4</f>
        <v>71.125</v>
      </c>
      <c r="DA23" s="18"/>
      <c r="DB23" s="79">
        <f>CZ23*0.5</f>
        <v>35.5625</v>
      </c>
      <c r="DC23" s="75"/>
      <c r="DD23" s="79">
        <f>DC23*0.5</f>
        <v>0</v>
      </c>
      <c r="DE23" s="81">
        <f>DD23+DB23</f>
        <v>35.5625</v>
      </c>
      <c r="DF23" s="18"/>
      <c r="DG23" s="79">
        <f>CZ23*0.3</f>
        <v>21.3375</v>
      </c>
      <c r="DH23" s="75"/>
      <c r="DI23" s="79">
        <f>DH23*0.7</f>
        <v>0</v>
      </c>
      <c r="DJ23" s="81">
        <f>DI23+DG23</f>
        <v>21.3375</v>
      </c>
    </row>
    <row r="24" ht="13.5" customHeight="1">
      <c r="A24" s="279"/>
      <c r="B24" s="280">
        <v>20</v>
      </c>
      <c r="C24" t="s" s="281">
        <v>613</v>
      </c>
      <c r="D24" t="s" s="282">
        <v>614</v>
      </c>
      <c r="E24" t="s" s="283">
        <v>43</v>
      </c>
      <c r="F24" t="s" s="237">
        <v>161</v>
      </c>
      <c r="G24" t="s" s="170">
        <v>43</v>
      </c>
      <c r="H24" t="s" s="283">
        <v>615</v>
      </c>
      <c r="I24" t="s" s="284">
        <v>162</v>
      </c>
      <c r="J24" t="s" s="285">
        <v>161</v>
      </c>
      <c r="K24" s="23"/>
      <c r="L24" t="s" s="211">
        <v>162</v>
      </c>
      <c r="M24" s="79">
        <v>10</v>
      </c>
      <c r="N24" s="75"/>
      <c r="O24" s="75"/>
      <c r="P24" s="75"/>
      <c r="Q24" s="286"/>
      <c r="R24" s="287"/>
      <c r="S24" s="287"/>
      <c r="T24" s="221">
        <v>7</v>
      </c>
      <c r="U24" s="288"/>
      <c r="V24" s="289"/>
      <c r="W24" s="289"/>
      <c r="X24" s="290"/>
      <c r="Y24" s="145">
        <v>8</v>
      </c>
      <c r="Z24" s="145">
        <v>8</v>
      </c>
      <c r="AA24" s="291"/>
      <c r="AB24" s="291"/>
      <c r="AC24" s="291"/>
      <c r="AD24" s="291"/>
      <c r="AE24" s="291"/>
      <c r="AF24" s="76"/>
      <c r="AG24" s="111">
        <f>W24+X24+Y24+Z24+AA24+AB24+AC24+AD24+AE24+AF24</f>
        <v>16</v>
      </c>
      <c r="AH24" s="292"/>
      <c r="AI24" s="293">
        <v>20</v>
      </c>
      <c r="AJ24" s="145">
        <v>8</v>
      </c>
      <c r="AK24" s="145">
        <v>20</v>
      </c>
      <c r="AL24" s="145">
        <v>25</v>
      </c>
      <c r="AM24" s="145">
        <v>0</v>
      </c>
      <c r="AN24" s="145">
        <v>14</v>
      </c>
      <c r="AO24" s="145">
        <v>8</v>
      </c>
      <c r="AP24" s="145">
        <v>8</v>
      </c>
      <c r="AQ24" s="145">
        <v>5</v>
      </c>
      <c r="AR24" s="145">
        <f>SUM(AJ24:AQ24)</f>
        <v>88</v>
      </c>
      <c r="AS24" s="294"/>
      <c r="AT24" s="293">
        <v>20</v>
      </c>
      <c r="AU24" s="110">
        <f>AR24+0</f>
        <v>88</v>
      </c>
      <c r="AV24" s="291"/>
      <c r="AW24" s="294"/>
      <c r="AX24" s="110">
        <f>AG24</f>
        <v>16</v>
      </c>
      <c r="AY24" s="291"/>
      <c r="AZ24" s="294"/>
      <c r="BA24" s="110">
        <f>U24</f>
        <v>0</v>
      </c>
      <c r="BB24" s="291"/>
      <c r="BC24" s="294"/>
      <c r="BD24" s="291"/>
      <c r="BE24" s="291"/>
      <c r="BF24" s="294"/>
      <c r="BG24" s="293">
        <v>20</v>
      </c>
      <c r="BH24" s="110">
        <f>AR24-1</f>
        <v>87</v>
      </c>
      <c r="BI24" s="291"/>
      <c r="BJ24" s="294"/>
      <c r="BK24" s="76"/>
      <c r="BL24" s="291"/>
      <c r="BM24" s="294"/>
      <c r="BN24" s="110">
        <f>U24-1</f>
        <v>-1</v>
      </c>
      <c r="BO24" s="291"/>
      <c r="BP24" s="294"/>
      <c r="BQ24" s="291"/>
      <c r="BR24" s="291"/>
      <c r="BS24" s="294"/>
      <c r="BT24" s="293">
        <v>20</v>
      </c>
      <c r="BU24" s="110">
        <f>AR24+2</f>
        <v>90</v>
      </c>
      <c r="BV24" s="291"/>
      <c r="BW24" s="294"/>
      <c r="BX24" s="76"/>
      <c r="BY24" s="291"/>
      <c r="BZ24" s="294"/>
      <c r="CA24" s="110">
        <f>U24+2</f>
        <v>2</v>
      </c>
      <c r="CB24" s="291"/>
      <c r="CC24" s="294"/>
      <c r="CD24" s="291"/>
      <c r="CE24" s="291"/>
      <c r="CF24" s="294"/>
      <c r="CG24" s="293">
        <v>20</v>
      </c>
      <c r="CH24" s="110">
        <f>AR24+1</f>
        <v>89</v>
      </c>
      <c r="CI24" s="291"/>
      <c r="CJ24" s="294"/>
      <c r="CK24" s="110">
        <f>AG24+1</f>
        <v>17</v>
      </c>
      <c r="CL24" s="291"/>
      <c r="CM24" s="294"/>
      <c r="CN24" s="110">
        <f>U24+1</f>
        <v>1</v>
      </c>
      <c r="CO24" s="291"/>
      <c r="CP24" s="294"/>
      <c r="CQ24" s="291"/>
      <c r="CR24" s="291"/>
      <c r="CS24" s="294"/>
      <c r="CT24" s="293">
        <v>20</v>
      </c>
      <c r="CU24" s="145">
        <f>(AU24+AX24+BA24+BD24)/4</f>
        <v>26</v>
      </c>
      <c r="CV24" s="145">
        <f>(BH24+BK24+BN24+BQ24)/4</f>
        <v>21.5</v>
      </c>
      <c r="CW24" s="145">
        <f>(BU24+BX24+CA24+CD24)/4</f>
        <v>23</v>
      </c>
      <c r="CX24" s="145">
        <f>(CH24+CK24+CN24+CQ24)/4</f>
        <v>26.75</v>
      </c>
      <c r="CY24" s="294"/>
      <c r="CZ24" s="295">
        <f>SUM(CU24:CX24)/4</f>
        <v>24.3125</v>
      </c>
      <c r="DA24" s="294"/>
      <c r="DB24" s="145">
        <f>CZ24*0.5</f>
        <v>12.15625</v>
      </c>
      <c r="DC24" s="291"/>
      <c r="DD24" s="145">
        <f>DC24*0.5</f>
        <v>0</v>
      </c>
      <c r="DE24" s="295">
        <f>DD24+DB24</f>
        <v>12.15625</v>
      </c>
      <c r="DF24" s="294"/>
      <c r="DG24" s="145">
        <f>CZ24*0.3</f>
        <v>7.29375</v>
      </c>
      <c r="DH24" s="291"/>
      <c r="DI24" s="145">
        <f>DH24*0.7</f>
        <v>0</v>
      </c>
      <c r="DJ24" s="295">
        <f>DI24+DG24</f>
        <v>7.29375</v>
      </c>
    </row>
    <row r="25" ht="13.5" customHeight="1">
      <c r="A25" s="68"/>
      <c r="B25" s="69">
        <v>21</v>
      </c>
      <c r="C25" t="s" s="70">
        <v>616</v>
      </c>
      <c r="D25" t="s" s="71">
        <v>617</v>
      </c>
      <c r="E25" t="s" s="72">
        <v>43</v>
      </c>
      <c r="F25" s="82"/>
      <c r="G25" t="s" s="232">
        <v>43</v>
      </c>
      <c r="H25" s="73"/>
      <c r="I25" t="s" s="72">
        <v>43</v>
      </c>
      <c r="J25" t="s" s="113">
        <v>43</v>
      </c>
      <c r="K25" t="s" s="210">
        <v>162</v>
      </c>
      <c r="L25" t="s" s="211">
        <v>43</v>
      </c>
      <c r="M25" s="79">
        <v>10</v>
      </c>
      <c r="N25" s="79">
        <v>18</v>
      </c>
      <c r="O25" s="79">
        <v>8</v>
      </c>
      <c r="P25" s="79">
        <v>0</v>
      </c>
      <c r="Q25" s="79">
        <v>6</v>
      </c>
      <c r="R25" s="79">
        <v>7</v>
      </c>
      <c r="S25" s="79">
        <v>8</v>
      </c>
      <c r="T25" s="296">
        <v>7</v>
      </c>
      <c r="U25" s="297">
        <f>M25+N25+O25+P25+Q25+R25+S25+T25+Y25+Z25+V25</f>
        <v>79</v>
      </c>
      <c r="V25" s="298"/>
      <c r="W25" s="297">
        <v>10</v>
      </c>
      <c r="X25" s="297">
        <v>0</v>
      </c>
      <c r="Y25" s="133">
        <v>8</v>
      </c>
      <c r="Z25" s="134">
        <v>7</v>
      </c>
      <c r="AA25" s="79">
        <v>9</v>
      </c>
      <c r="AB25" s="110">
        <v>10</v>
      </c>
      <c r="AC25" s="79">
        <v>10</v>
      </c>
      <c r="AD25" s="110">
        <v>5</v>
      </c>
      <c r="AE25" s="79">
        <v>0</v>
      </c>
      <c r="AF25" s="110">
        <v>15</v>
      </c>
      <c r="AG25" s="128">
        <f>W25+X25+Y25+Z25+AA25+AB25+AC25+AD25+AE25+AF25</f>
        <v>74</v>
      </c>
      <c r="AH25" t="s" s="299">
        <v>618</v>
      </c>
      <c r="AI25" s="78">
        <v>21</v>
      </c>
      <c r="AJ25" s="110">
        <v>10</v>
      </c>
      <c r="AK25" s="79">
        <v>18</v>
      </c>
      <c r="AL25" s="110">
        <v>25</v>
      </c>
      <c r="AM25" s="79">
        <v>9</v>
      </c>
      <c r="AN25" s="79">
        <v>13</v>
      </c>
      <c r="AO25" s="110">
        <v>8</v>
      </c>
      <c r="AP25" s="79">
        <v>4</v>
      </c>
      <c r="AQ25" s="110">
        <v>5</v>
      </c>
      <c r="AR25" s="79">
        <f>SUM(AJ25:AQ25)</f>
        <v>92</v>
      </c>
      <c r="AS25" s="18"/>
      <c r="AT25" s="78">
        <v>21</v>
      </c>
      <c r="AU25" s="110">
        <f>AR25+0</f>
        <v>92</v>
      </c>
      <c r="AV25" s="75"/>
      <c r="AW25" s="18"/>
      <c r="AX25" s="110">
        <f>AG25</f>
        <v>74</v>
      </c>
      <c r="AY25" s="75"/>
      <c r="AZ25" s="18"/>
      <c r="BA25" s="110">
        <f>U25</f>
        <v>79</v>
      </c>
      <c r="BB25" s="75"/>
      <c r="BC25" s="18"/>
      <c r="BD25" s="76"/>
      <c r="BE25" s="75"/>
      <c r="BF25" s="18"/>
      <c r="BG25" s="78">
        <v>21</v>
      </c>
      <c r="BH25" s="110">
        <f>AR25-1</f>
        <v>91</v>
      </c>
      <c r="BI25" s="75"/>
      <c r="BJ25" s="18"/>
      <c r="BK25" s="110">
        <f>AG25-1</f>
        <v>73</v>
      </c>
      <c r="BL25" s="75"/>
      <c r="BM25" s="18"/>
      <c r="BN25" s="110">
        <f>U25-1</f>
        <v>78</v>
      </c>
      <c r="BO25" s="75"/>
      <c r="BP25" s="18"/>
      <c r="BQ25" s="76"/>
      <c r="BR25" s="75"/>
      <c r="BS25" s="18"/>
      <c r="BT25" s="78">
        <v>21</v>
      </c>
      <c r="BU25" s="110">
        <f>AR25+2</f>
        <v>94</v>
      </c>
      <c r="BV25" s="75"/>
      <c r="BW25" s="18"/>
      <c r="BX25" s="110">
        <f>AG25+2</f>
        <v>76</v>
      </c>
      <c r="BY25" s="75"/>
      <c r="BZ25" s="18"/>
      <c r="CA25" s="110">
        <f>U25+2</f>
        <v>81</v>
      </c>
      <c r="CB25" s="75"/>
      <c r="CC25" s="18"/>
      <c r="CD25" s="76"/>
      <c r="CE25" s="75"/>
      <c r="CF25" s="18"/>
      <c r="CG25" s="78">
        <v>21</v>
      </c>
      <c r="CH25" s="110">
        <f>AR25+1</f>
        <v>93</v>
      </c>
      <c r="CI25" s="75"/>
      <c r="CJ25" s="18"/>
      <c r="CK25" s="110">
        <f>AG25+1</f>
        <v>75</v>
      </c>
      <c r="CL25" s="75"/>
      <c r="CM25" s="18"/>
      <c r="CN25" s="110">
        <f>U25+1</f>
        <v>80</v>
      </c>
      <c r="CO25" s="75"/>
      <c r="CP25" s="18"/>
      <c r="CQ25" s="76"/>
      <c r="CR25" s="75"/>
      <c r="CS25" s="18"/>
      <c r="CT25" s="78">
        <v>21</v>
      </c>
      <c r="CU25" s="79">
        <f>(AU25+AX25+BA25+BD25)/4</f>
        <v>61.25</v>
      </c>
      <c r="CV25" s="79">
        <f>(BH25+BK25+BN25+BQ25)/4</f>
        <v>60.5</v>
      </c>
      <c r="CW25" s="79">
        <f>(BU25+BX25+CA25+CD25)/4</f>
        <v>62.75</v>
      </c>
      <c r="CX25" s="79">
        <f>(CH25+CK25+CN25+CQ25)/4</f>
        <v>62</v>
      </c>
      <c r="CY25" s="18"/>
      <c r="CZ25" s="80">
        <f>SUM(CU25:CX25)/4</f>
        <v>61.625</v>
      </c>
      <c r="DA25" s="18"/>
      <c r="DB25" s="79">
        <f>CZ25*0.5</f>
        <v>30.8125</v>
      </c>
      <c r="DC25" s="75"/>
      <c r="DD25" s="79">
        <f>DC25*0.5</f>
        <v>0</v>
      </c>
      <c r="DE25" s="81">
        <f>DD25+DB25</f>
        <v>30.8125</v>
      </c>
      <c r="DF25" s="18"/>
      <c r="DG25" s="79">
        <f>CZ25*0.3</f>
        <v>18.4875</v>
      </c>
      <c r="DH25" s="75"/>
      <c r="DI25" s="79">
        <f>DH25*0.7</f>
        <v>0</v>
      </c>
      <c r="DJ25" s="81">
        <f>DI25+DG25</f>
        <v>18.4875</v>
      </c>
    </row>
    <row r="26" ht="13.5" customHeight="1">
      <c r="A26" s="68"/>
      <c r="B26" s="69">
        <v>22</v>
      </c>
      <c r="C26" t="s" s="70">
        <v>619</v>
      </c>
      <c r="D26" t="s" s="71">
        <v>620</v>
      </c>
      <c r="E26" t="s" s="72">
        <v>43</v>
      </c>
      <c r="F26" s="82"/>
      <c r="G26" t="s" s="232">
        <v>43</v>
      </c>
      <c r="H26" s="82"/>
      <c r="I26" t="s" s="72">
        <v>163</v>
      </c>
      <c r="J26" t="s" s="113">
        <v>43</v>
      </c>
      <c r="K26" t="s" s="210">
        <v>43</v>
      </c>
      <c r="L26" t="s" s="211">
        <v>43</v>
      </c>
      <c r="M26" s="79">
        <v>10</v>
      </c>
      <c r="N26" s="79">
        <v>17</v>
      </c>
      <c r="O26" s="79">
        <v>8</v>
      </c>
      <c r="P26" s="79">
        <v>37</v>
      </c>
      <c r="Q26" s="75"/>
      <c r="R26" s="75"/>
      <c r="S26" s="75"/>
      <c r="T26" s="79">
        <v>7</v>
      </c>
      <c r="U26" s="79">
        <f>M26+N26+O26+P26+Q26+R26+S26+T26+Y26+Z26+V26</f>
        <v>99</v>
      </c>
      <c r="V26" s="75"/>
      <c r="W26" s="79">
        <v>10</v>
      </c>
      <c r="X26" s="79">
        <v>0</v>
      </c>
      <c r="Y26" s="110">
        <v>10</v>
      </c>
      <c r="Z26" s="79">
        <v>10</v>
      </c>
      <c r="AA26" s="79">
        <v>10</v>
      </c>
      <c r="AB26" s="110">
        <v>10</v>
      </c>
      <c r="AC26" s="79">
        <v>7</v>
      </c>
      <c r="AD26" s="110">
        <v>5</v>
      </c>
      <c r="AE26" s="79">
        <v>0</v>
      </c>
      <c r="AF26" s="110">
        <v>15</v>
      </c>
      <c r="AG26" s="111">
        <f>W26+X26+Y26+Z26+AA26+AB26+AC26+AD26+AE26+AF26</f>
        <v>77</v>
      </c>
      <c r="AH26" s="273"/>
      <c r="AI26" s="78">
        <v>22</v>
      </c>
      <c r="AJ26" s="110">
        <v>10</v>
      </c>
      <c r="AK26" s="79">
        <v>17</v>
      </c>
      <c r="AL26" s="110">
        <v>25</v>
      </c>
      <c r="AM26" s="79">
        <v>0</v>
      </c>
      <c r="AN26" s="79">
        <v>12</v>
      </c>
      <c r="AO26" s="110">
        <v>10</v>
      </c>
      <c r="AP26" s="79">
        <v>10</v>
      </c>
      <c r="AQ26" s="110">
        <v>5</v>
      </c>
      <c r="AR26" s="79">
        <f>SUM(AJ26:AQ26)</f>
        <v>89</v>
      </c>
      <c r="AS26" s="18"/>
      <c r="AT26" s="78">
        <v>22</v>
      </c>
      <c r="AU26" s="110">
        <f>AR26+0</f>
        <v>89</v>
      </c>
      <c r="AV26" s="75"/>
      <c r="AW26" s="18"/>
      <c r="AX26" s="110">
        <f>AG26</f>
        <v>77</v>
      </c>
      <c r="AY26" s="75"/>
      <c r="AZ26" s="18"/>
      <c r="BA26" s="110">
        <f>U26</f>
        <v>99</v>
      </c>
      <c r="BB26" s="75"/>
      <c r="BC26" s="18"/>
      <c r="BD26" s="76"/>
      <c r="BE26" s="75"/>
      <c r="BF26" s="18"/>
      <c r="BG26" s="78">
        <v>22</v>
      </c>
      <c r="BH26" s="110">
        <f>AR26-1</f>
        <v>88</v>
      </c>
      <c r="BI26" s="75"/>
      <c r="BJ26" s="18"/>
      <c r="BK26" s="110">
        <f>AG26-1</f>
        <v>76</v>
      </c>
      <c r="BL26" s="75"/>
      <c r="BM26" s="18"/>
      <c r="BN26" s="110">
        <f>U26-1</f>
        <v>98</v>
      </c>
      <c r="BO26" s="75"/>
      <c r="BP26" s="18"/>
      <c r="BQ26" s="76"/>
      <c r="BR26" s="75"/>
      <c r="BS26" s="18"/>
      <c r="BT26" s="78">
        <v>22</v>
      </c>
      <c r="BU26" s="110">
        <f>AR26+2</f>
        <v>91</v>
      </c>
      <c r="BV26" s="75"/>
      <c r="BW26" s="18"/>
      <c r="BX26" s="110">
        <f>AG26+2</f>
        <v>79</v>
      </c>
      <c r="BY26" s="75"/>
      <c r="BZ26" s="18"/>
      <c r="CA26" s="110">
        <f>U26+2</f>
        <v>101</v>
      </c>
      <c r="CB26" s="75"/>
      <c r="CC26" s="18"/>
      <c r="CD26" s="76"/>
      <c r="CE26" s="75"/>
      <c r="CF26" s="18"/>
      <c r="CG26" s="78">
        <v>22</v>
      </c>
      <c r="CH26" s="110">
        <f>AR26+1</f>
        <v>90</v>
      </c>
      <c r="CI26" s="75"/>
      <c r="CJ26" s="18"/>
      <c r="CK26" s="110">
        <f>AG26+1</f>
        <v>78</v>
      </c>
      <c r="CL26" s="75"/>
      <c r="CM26" s="18"/>
      <c r="CN26" s="110">
        <f>U26+1</f>
        <v>100</v>
      </c>
      <c r="CO26" s="75"/>
      <c r="CP26" s="18"/>
      <c r="CQ26" s="76"/>
      <c r="CR26" s="75"/>
      <c r="CS26" s="18"/>
      <c r="CT26" s="78">
        <v>22</v>
      </c>
      <c r="CU26" s="79">
        <f>(AU26+AX26+BA26+BD26)/4</f>
        <v>66.25</v>
      </c>
      <c r="CV26" s="79">
        <f>(BH26+BK26+BN26+BQ26)/4</f>
        <v>65.5</v>
      </c>
      <c r="CW26" s="79">
        <f>(BU26+BX26+CA26+CD26)/4</f>
        <v>67.75</v>
      </c>
      <c r="CX26" s="79">
        <f>(CH26+CK26+CN26+CQ26)/4</f>
        <v>67</v>
      </c>
      <c r="CY26" s="18"/>
      <c r="CZ26" s="80">
        <f>SUM(CU26:CX26)/4</f>
        <v>66.625</v>
      </c>
      <c r="DA26" s="18"/>
      <c r="DB26" s="79">
        <f>CZ26*0.5</f>
        <v>33.3125</v>
      </c>
      <c r="DC26" s="75"/>
      <c r="DD26" s="79">
        <f>DC26*0.5</f>
        <v>0</v>
      </c>
      <c r="DE26" s="81">
        <f>DD26+DB26</f>
        <v>33.3125</v>
      </c>
      <c r="DF26" s="18"/>
      <c r="DG26" s="79">
        <f>CZ26*0.3</f>
        <v>19.9875</v>
      </c>
      <c r="DH26" s="75"/>
      <c r="DI26" s="79">
        <f>DH26*0.7</f>
        <v>0</v>
      </c>
      <c r="DJ26" s="81">
        <f>DI26+DG26</f>
        <v>19.9875</v>
      </c>
    </row>
    <row r="27" ht="13.5" customHeight="1">
      <c r="A27" s="68"/>
      <c r="B27" s="69">
        <v>23</v>
      </c>
      <c r="C27" t="s" s="70">
        <v>621</v>
      </c>
      <c r="D27" t="s" s="71">
        <v>622</v>
      </c>
      <c r="E27" t="s" s="72">
        <v>43</v>
      </c>
      <c r="F27" s="82"/>
      <c r="G27" t="s" s="232">
        <v>43</v>
      </c>
      <c r="H27" s="82"/>
      <c r="I27" t="s" s="72">
        <v>161</v>
      </c>
      <c r="J27" t="s" s="113">
        <v>43</v>
      </c>
      <c r="K27" t="s" s="210">
        <v>43</v>
      </c>
      <c r="L27" t="s" s="211">
        <v>43</v>
      </c>
      <c r="M27" s="79">
        <v>8</v>
      </c>
      <c r="N27" s="79">
        <v>14</v>
      </c>
      <c r="O27" s="79">
        <v>4</v>
      </c>
      <c r="P27" s="79">
        <v>8</v>
      </c>
      <c r="Q27" s="79">
        <v>8</v>
      </c>
      <c r="R27" s="79">
        <v>8</v>
      </c>
      <c r="S27" s="79">
        <v>8</v>
      </c>
      <c r="T27" s="79">
        <v>7</v>
      </c>
      <c r="U27" s="79">
        <f>M27+N27+O27+P27+Q27+R27+S27+T27+Y27+Z27+V27</f>
        <v>81</v>
      </c>
      <c r="V27" s="75"/>
      <c r="W27" s="79">
        <v>10</v>
      </c>
      <c r="X27" s="79">
        <v>0</v>
      </c>
      <c r="Y27" s="110">
        <v>8</v>
      </c>
      <c r="Z27" s="79">
        <v>8</v>
      </c>
      <c r="AA27" s="79">
        <v>8</v>
      </c>
      <c r="AB27" s="110">
        <v>10</v>
      </c>
      <c r="AC27" s="79">
        <v>13</v>
      </c>
      <c r="AD27" s="110">
        <v>5</v>
      </c>
      <c r="AE27" s="75"/>
      <c r="AF27" s="110">
        <v>15</v>
      </c>
      <c r="AG27" s="111">
        <f>W27+X27+Y27+Z27+AA27+AB27+AC27+AD27+AE27+AF27</f>
        <v>77</v>
      </c>
      <c r="AH27" s="273"/>
      <c r="AI27" s="78">
        <v>23</v>
      </c>
      <c r="AJ27" s="110">
        <v>10</v>
      </c>
      <c r="AK27" s="79">
        <v>18</v>
      </c>
      <c r="AL27" s="110">
        <v>25</v>
      </c>
      <c r="AM27" s="79">
        <v>10</v>
      </c>
      <c r="AN27" s="79">
        <v>13</v>
      </c>
      <c r="AO27" s="110">
        <v>8</v>
      </c>
      <c r="AP27" s="79">
        <v>4</v>
      </c>
      <c r="AQ27" s="110">
        <v>5</v>
      </c>
      <c r="AR27" s="79">
        <f>SUM(AJ27:AQ27)</f>
        <v>93</v>
      </c>
      <c r="AS27" s="18"/>
      <c r="AT27" s="78">
        <v>23</v>
      </c>
      <c r="AU27" s="110">
        <f>AR27+0</f>
        <v>93</v>
      </c>
      <c r="AV27" s="75"/>
      <c r="AW27" s="18"/>
      <c r="AX27" s="110">
        <f>AG27</f>
        <v>77</v>
      </c>
      <c r="AY27" s="75"/>
      <c r="AZ27" s="18"/>
      <c r="BA27" s="110">
        <f>U27</f>
        <v>81</v>
      </c>
      <c r="BB27" s="75"/>
      <c r="BC27" s="18"/>
      <c r="BD27" s="76"/>
      <c r="BE27" s="75"/>
      <c r="BF27" s="18"/>
      <c r="BG27" s="78">
        <v>23</v>
      </c>
      <c r="BH27" s="110">
        <f>AR27-1</f>
        <v>92</v>
      </c>
      <c r="BI27" s="75"/>
      <c r="BJ27" s="18"/>
      <c r="BK27" s="110">
        <f>AG27-1</f>
        <v>76</v>
      </c>
      <c r="BL27" s="75"/>
      <c r="BM27" s="18"/>
      <c r="BN27" s="110">
        <f>U27-1</f>
        <v>80</v>
      </c>
      <c r="BO27" s="75"/>
      <c r="BP27" s="18"/>
      <c r="BQ27" s="76"/>
      <c r="BR27" s="75"/>
      <c r="BS27" s="18"/>
      <c r="BT27" s="78">
        <v>23</v>
      </c>
      <c r="BU27" s="110">
        <f>AR27+2</f>
        <v>95</v>
      </c>
      <c r="BV27" s="75"/>
      <c r="BW27" s="18"/>
      <c r="BX27" s="110">
        <f>AG27+2</f>
        <v>79</v>
      </c>
      <c r="BY27" s="75"/>
      <c r="BZ27" s="18"/>
      <c r="CA27" s="110">
        <f>U27+2</f>
        <v>83</v>
      </c>
      <c r="CB27" s="75"/>
      <c r="CC27" s="18"/>
      <c r="CD27" s="76"/>
      <c r="CE27" s="75"/>
      <c r="CF27" s="18"/>
      <c r="CG27" s="78">
        <v>23</v>
      </c>
      <c r="CH27" s="110">
        <f>AR27+1</f>
        <v>94</v>
      </c>
      <c r="CI27" s="75"/>
      <c r="CJ27" s="18"/>
      <c r="CK27" s="110">
        <f>AG27+1</f>
        <v>78</v>
      </c>
      <c r="CL27" s="75"/>
      <c r="CM27" s="18"/>
      <c r="CN27" s="110">
        <f>U27+1</f>
        <v>82</v>
      </c>
      <c r="CO27" s="75"/>
      <c r="CP27" s="18"/>
      <c r="CQ27" s="76"/>
      <c r="CR27" s="75"/>
      <c r="CS27" s="18"/>
      <c r="CT27" s="78">
        <v>23</v>
      </c>
      <c r="CU27" s="79">
        <f>(AU27+AX27+BA27+BD27)/4</f>
        <v>62.75</v>
      </c>
      <c r="CV27" s="79">
        <f>(BH27+BK27+BN27+BQ27)/4</f>
        <v>62</v>
      </c>
      <c r="CW27" s="79">
        <f>(BU27+BX27+CA27+CD27)/4</f>
        <v>64.25</v>
      </c>
      <c r="CX27" s="79">
        <f>(CH27+CK27+CN27+CQ27)/4</f>
        <v>63.5</v>
      </c>
      <c r="CY27" s="18"/>
      <c r="CZ27" s="80">
        <f>SUM(CU27:CX27)/4</f>
        <v>63.125</v>
      </c>
      <c r="DA27" s="18"/>
      <c r="DB27" s="79">
        <f>CZ27*0.5</f>
        <v>31.5625</v>
      </c>
      <c r="DC27" s="75"/>
      <c r="DD27" s="79">
        <f>DC27*0.5</f>
        <v>0</v>
      </c>
      <c r="DE27" s="81">
        <f>DD27+DB27</f>
        <v>31.5625</v>
      </c>
      <c r="DF27" s="18"/>
      <c r="DG27" s="79">
        <f>CZ27*0.3</f>
        <v>18.9375</v>
      </c>
      <c r="DH27" s="75"/>
      <c r="DI27" s="79">
        <f>DH27*0.7</f>
        <v>0</v>
      </c>
      <c r="DJ27" s="81">
        <f>DI27+DG27</f>
        <v>18.9375</v>
      </c>
    </row>
    <row r="28" ht="13.5" customHeight="1">
      <c r="A28" s="68"/>
      <c r="B28" s="69">
        <v>24</v>
      </c>
      <c r="C28" t="s" s="70">
        <v>623</v>
      </c>
      <c r="D28" t="s" s="71">
        <v>624</v>
      </c>
      <c r="E28" t="s" s="72">
        <v>43</v>
      </c>
      <c r="F28" s="82"/>
      <c r="G28" t="s" s="232">
        <v>43</v>
      </c>
      <c r="H28" s="82"/>
      <c r="I28" t="s" s="72">
        <v>43</v>
      </c>
      <c r="J28" t="s" s="113">
        <v>43</v>
      </c>
      <c r="K28" t="s" s="210">
        <v>162</v>
      </c>
      <c r="L28" t="s" s="211">
        <v>162</v>
      </c>
      <c r="M28" s="79">
        <v>10</v>
      </c>
      <c r="N28" s="79">
        <v>18</v>
      </c>
      <c r="O28" s="79">
        <v>0</v>
      </c>
      <c r="P28" s="79">
        <v>9</v>
      </c>
      <c r="Q28" s="79">
        <v>8</v>
      </c>
      <c r="R28" s="79">
        <v>9</v>
      </c>
      <c r="S28" s="79">
        <v>8</v>
      </c>
      <c r="T28" s="79">
        <v>7</v>
      </c>
      <c r="U28" s="79">
        <f>M28+N28+O28+P28+Q28+R28+S28+T28+Y28+Z28+V28</f>
        <v>87</v>
      </c>
      <c r="V28" s="75"/>
      <c r="W28" s="79">
        <v>10</v>
      </c>
      <c r="X28" s="79">
        <v>0</v>
      </c>
      <c r="Y28" s="110">
        <v>8</v>
      </c>
      <c r="Z28" s="79">
        <v>10</v>
      </c>
      <c r="AA28" s="79">
        <v>10</v>
      </c>
      <c r="AB28" s="110">
        <v>10</v>
      </c>
      <c r="AC28" s="79">
        <v>20</v>
      </c>
      <c r="AD28" s="110">
        <v>0</v>
      </c>
      <c r="AE28" s="79">
        <v>0</v>
      </c>
      <c r="AF28" s="110">
        <v>15</v>
      </c>
      <c r="AG28" s="111">
        <f>W28+X28+Y28+Z28+AA28+AB28+AC28+AD28+AE28+AF28</f>
        <v>83</v>
      </c>
      <c r="AH28" s="273"/>
      <c r="AI28" s="78">
        <v>24</v>
      </c>
      <c r="AJ28" s="110">
        <v>10</v>
      </c>
      <c r="AK28" s="79">
        <v>20</v>
      </c>
      <c r="AL28" s="110">
        <v>25</v>
      </c>
      <c r="AM28" s="79">
        <v>10</v>
      </c>
      <c r="AN28" s="79">
        <v>11</v>
      </c>
      <c r="AO28" s="110">
        <v>8</v>
      </c>
      <c r="AP28" s="79">
        <v>4</v>
      </c>
      <c r="AQ28" s="110">
        <v>5</v>
      </c>
      <c r="AR28" s="79">
        <f>SUM(AJ28:AQ28)</f>
        <v>93</v>
      </c>
      <c r="AS28" s="18"/>
      <c r="AT28" s="78">
        <v>24</v>
      </c>
      <c r="AU28" s="110">
        <f>AR28+0</f>
        <v>93</v>
      </c>
      <c r="AV28" s="75"/>
      <c r="AW28" s="18"/>
      <c r="AX28" s="110">
        <f>AG28</f>
        <v>83</v>
      </c>
      <c r="AY28" s="75"/>
      <c r="AZ28" s="18"/>
      <c r="BA28" s="110">
        <f>U28</f>
        <v>87</v>
      </c>
      <c r="BB28" s="75"/>
      <c r="BC28" s="18"/>
      <c r="BD28" s="76"/>
      <c r="BE28" s="75"/>
      <c r="BF28" s="18"/>
      <c r="BG28" s="78">
        <v>24</v>
      </c>
      <c r="BH28" s="110">
        <f>AR28-1</f>
        <v>92</v>
      </c>
      <c r="BI28" s="75"/>
      <c r="BJ28" s="18"/>
      <c r="BK28" s="110">
        <f>AG28-1</f>
        <v>82</v>
      </c>
      <c r="BL28" s="75"/>
      <c r="BM28" s="18"/>
      <c r="BN28" s="110">
        <f>U28-1</f>
        <v>86</v>
      </c>
      <c r="BO28" s="75"/>
      <c r="BP28" s="18"/>
      <c r="BQ28" s="76"/>
      <c r="BR28" s="75"/>
      <c r="BS28" s="18"/>
      <c r="BT28" s="78">
        <v>24</v>
      </c>
      <c r="BU28" s="110">
        <f>AR28+2</f>
        <v>95</v>
      </c>
      <c r="BV28" s="75"/>
      <c r="BW28" s="18"/>
      <c r="BX28" s="110">
        <f>AG28+2</f>
        <v>85</v>
      </c>
      <c r="BY28" s="75"/>
      <c r="BZ28" s="18"/>
      <c r="CA28" s="110">
        <f>U28+2</f>
        <v>89</v>
      </c>
      <c r="CB28" s="75"/>
      <c r="CC28" s="18"/>
      <c r="CD28" s="76"/>
      <c r="CE28" s="75"/>
      <c r="CF28" s="18"/>
      <c r="CG28" s="78">
        <v>24</v>
      </c>
      <c r="CH28" s="110">
        <f>AR28+1</f>
        <v>94</v>
      </c>
      <c r="CI28" s="75"/>
      <c r="CJ28" s="18"/>
      <c r="CK28" s="110">
        <f>AG28+1</f>
        <v>84</v>
      </c>
      <c r="CL28" s="75"/>
      <c r="CM28" s="18"/>
      <c r="CN28" s="110">
        <f>U28+1</f>
        <v>88</v>
      </c>
      <c r="CO28" s="75"/>
      <c r="CP28" s="18"/>
      <c r="CQ28" s="76"/>
      <c r="CR28" s="75"/>
      <c r="CS28" s="18"/>
      <c r="CT28" s="78">
        <v>24</v>
      </c>
      <c r="CU28" s="79">
        <f>(AU28+AX28+BA28+BD28)/4</f>
        <v>65.75</v>
      </c>
      <c r="CV28" s="79">
        <f>(BH28+BK28+BN28+BQ28)/4</f>
        <v>65</v>
      </c>
      <c r="CW28" s="79">
        <f>(BU28+BX28+CA28+CD28)/4</f>
        <v>67.25</v>
      </c>
      <c r="CX28" s="79">
        <f>(CH28+CK28+CN28+CQ28)/4</f>
        <v>66.5</v>
      </c>
      <c r="CY28" s="18"/>
      <c r="CZ28" s="80">
        <f>SUM(CU28:CX28)/4</f>
        <v>66.125</v>
      </c>
      <c r="DA28" s="18"/>
      <c r="DB28" s="79">
        <f>CZ28*0.5</f>
        <v>33.0625</v>
      </c>
      <c r="DC28" s="75"/>
      <c r="DD28" s="79">
        <f>DC28*0.5</f>
        <v>0</v>
      </c>
      <c r="DE28" s="81">
        <f>DD28+DB28</f>
        <v>33.0625</v>
      </c>
      <c r="DF28" s="18"/>
      <c r="DG28" s="79">
        <f>CZ28*0.3</f>
        <v>19.8375</v>
      </c>
      <c r="DH28" s="75"/>
      <c r="DI28" s="79">
        <f>DH28*0.7</f>
        <v>0</v>
      </c>
      <c r="DJ28" s="81">
        <f>DI28+DG28</f>
        <v>19.8375</v>
      </c>
    </row>
    <row r="29" ht="13.5" customHeight="1">
      <c r="A29" s="68"/>
      <c r="B29" s="69">
        <v>25</v>
      </c>
      <c r="C29" t="s" s="70">
        <v>625</v>
      </c>
      <c r="D29" t="s" s="71">
        <v>626</v>
      </c>
      <c r="E29" t="s" s="72">
        <v>43</v>
      </c>
      <c r="F29" s="82"/>
      <c r="G29" t="s" s="232">
        <v>43</v>
      </c>
      <c r="H29" s="82"/>
      <c r="I29" t="s" s="72">
        <v>43</v>
      </c>
      <c r="J29" t="s" s="113">
        <v>43</v>
      </c>
      <c r="K29" t="s" s="210">
        <v>43</v>
      </c>
      <c r="L29" t="s" s="211">
        <v>43</v>
      </c>
      <c r="M29" s="79">
        <v>10</v>
      </c>
      <c r="N29" s="79">
        <v>18</v>
      </c>
      <c r="O29" s="79">
        <v>10</v>
      </c>
      <c r="P29" s="79">
        <v>8</v>
      </c>
      <c r="Q29" s="79">
        <v>10</v>
      </c>
      <c r="R29" s="79">
        <v>9</v>
      </c>
      <c r="S29" s="79">
        <v>9</v>
      </c>
      <c r="T29" s="79">
        <v>7</v>
      </c>
      <c r="U29" s="79">
        <f>M29+N29+O29+P29+Q29+R29+S29+T29+Y29+Z29+V29</f>
        <v>98</v>
      </c>
      <c r="V29" s="75"/>
      <c r="W29" s="79">
        <v>10</v>
      </c>
      <c r="X29" s="79">
        <v>8</v>
      </c>
      <c r="Y29" s="110">
        <v>8</v>
      </c>
      <c r="Z29" s="79">
        <v>9</v>
      </c>
      <c r="AA29" s="79">
        <v>5</v>
      </c>
      <c r="AB29" s="110">
        <v>5</v>
      </c>
      <c r="AC29" s="79">
        <v>18</v>
      </c>
      <c r="AD29" s="76"/>
      <c r="AE29" s="79">
        <v>5</v>
      </c>
      <c r="AF29" s="110">
        <v>15</v>
      </c>
      <c r="AG29" s="111">
        <f>W29+X29+Y29+Z29+AA29+AB29+AC29+AD29+AE29+AF29</f>
        <v>83</v>
      </c>
      <c r="AH29" s="273"/>
      <c r="AI29" s="78">
        <v>25</v>
      </c>
      <c r="AJ29" s="110">
        <v>10</v>
      </c>
      <c r="AK29" s="79">
        <v>9</v>
      </c>
      <c r="AL29" s="110">
        <v>25</v>
      </c>
      <c r="AM29" s="79">
        <v>10</v>
      </c>
      <c r="AN29" s="79">
        <v>0</v>
      </c>
      <c r="AO29" s="110">
        <v>9</v>
      </c>
      <c r="AP29" s="79">
        <v>0</v>
      </c>
      <c r="AQ29" s="110">
        <v>5</v>
      </c>
      <c r="AR29" s="79">
        <f>SUM(AJ29:AQ29)</f>
        <v>68</v>
      </c>
      <c r="AS29" s="18"/>
      <c r="AT29" s="78">
        <v>25</v>
      </c>
      <c r="AU29" s="110">
        <f>AR29+0</f>
        <v>68</v>
      </c>
      <c r="AV29" s="79">
        <v>75</v>
      </c>
      <c r="AW29" s="18"/>
      <c r="AX29" s="110">
        <f>AG29</f>
        <v>83</v>
      </c>
      <c r="AY29" s="75"/>
      <c r="AZ29" s="18"/>
      <c r="BA29" s="110">
        <f>U29</f>
        <v>98</v>
      </c>
      <c r="BB29" s="75"/>
      <c r="BC29" s="18"/>
      <c r="BD29" s="76"/>
      <c r="BE29" s="75"/>
      <c r="BF29" s="18"/>
      <c r="BG29" s="78">
        <v>25</v>
      </c>
      <c r="BH29" s="110">
        <f>AR29-1</f>
        <v>67</v>
      </c>
      <c r="BI29" s="79">
        <v>75</v>
      </c>
      <c r="BJ29" s="18"/>
      <c r="BK29" s="110">
        <f>AG29-1</f>
        <v>82</v>
      </c>
      <c r="BL29" s="75"/>
      <c r="BM29" s="18"/>
      <c r="BN29" s="110">
        <f>U29-1</f>
        <v>97</v>
      </c>
      <c r="BO29" s="75"/>
      <c r="BP29" s="18"/>
      <c r="BQ29" s="76"/>
      <c r="BR29" s="75"/>
      <c r="BS29" s="18"/>
      <c r="BT29" s="78">
        <v>25</v>
      </c>
      <c r="BU29" s="110">
        <v>68</v>
      </c>
      <c r="BV29" s="79">
        <v>75</v>
      </c>
      <c r="BW29" s="18"/>
      <c r="BX29" s="110">
        <f>AG29+2</f>
        <v>85</v>
      </c>
      <c r="BY29" s="75"/>
      <c r="BZ29" s="18"/>
      <c r="CA29" s="110">
        <f>U29+2</f>
        <v>100</v>
      </c>
      <c r="CB29" s="75"/>
      <c r="CC29" s="18"/>
      <c r="CD29" s="76"/>
      <c r="CE29" s="75"/>
      <c r="CF29" s="18"/>
      <c r="CG29" s="78">
        <v>25</v>
      </c>
      <c r="CH29" s="110">
        <f>AR29+1</f>
        <v>69</v>
      </c>
      <c r="CI29" s="79">
        <v>75</v>
      </c>
      <c r="CJ29" s="18"/>
      <c r="CK29" s="110">
        <f>AG29+1</f>
        <v>84</v>
      </c>
      <c r="CL29" s="75"/>
      <c r="CM29" s="18"/>
      <c r="CN29" s="110">
        <f>U29+1</f>
        <v>99</v>
      </c>
      <c r="CO29" s="75"/>
      <c r="CP29" s="18"/>
      <c r="CQ29" s="76"/>
      <c r="CR29" s="75"/>
      <c r="CS29" s="18"/>
      <c r="CT29" s="78">
        <v>25</v>
      </c>
      <c r="CU29" s="79">
        <f>(AU29+AX29+BA29+BD29)/4</f>
        <v>62.25</v>
      </c>
      <c r="CV29" s="79">
        <f>(BH29+BK29+BN29+BQ29)/4</f>
        <v>61.5</v>
      </c>
      <c r="CW29" s="79">
        <f>(BU29+BX29+CA29+CD29)/4</f>
        <v>63.25</v>
      </c>
      <c r="CX29" s="79">
        <f>(CH29+CK29+CN29+CQ29)/4</f>
        <v>63</v>
      </c>
      <c r="CY29" s="18"/>
      <c r="CZ29" s="80">
        <f>SUM(CU29:CX29)/4</f>
        <v>62.5</v>
      </c>
      <c r="DA29" s="18"/>
      <c r="DB29" s="79">
        <f>CZ29*0.5</f>
        <v>31.25</v>
      </c>
      <c r="DC29" s="75"/>
      <c r="DD29" s="79">
        <f>DC29*0.5</f>
        <v>0</v>
      </c>
      <c r="DE29" s="81">
        <f>DD29+DB29</f>
        <v>31.25</v>
      </c>
      <c r="DF29" s="18"/>
      <c r="DG29" s="79">
        <f>CZ29*0.3</f>
        <v>18.75</v>
      </c>
      <c r="DH29" s="75"/>
      <c r="DI29" s="79">
        <f>DH29*0.7</f>
        <v>0</v>
      </c>
      <c r="DJ29" s="81">
        <f>DI29+DG29</f>
        <v>18.75</v>
      </c>
    </row>
    <row r="30" ht="13.5" customHeight="1">
      <c r="A30" s="68"/>
      <c r="B30" s="69">
        <v>26</v>
      </c>
      <c r="C30" t="s" s="70">
        <v>627</v>
      </c>
      <c r="D30" t="s" s="71">
        <v>628</v>
      </c>
      <c r="E30" t="s" s="72">
        <v>43</v>
      </c>
      <c r="F30" s="82"/>
      <c r="G30" t="s" s="232">
        <v>43</v>
      </c>
      <c r="H30" s="82"/>
      <c r="I30" t="s" s="72">
        <v>43</v>
      </c>
      <c r="J30" t="s" s="113">
        <v>43</v>
      </c>
      <c r="K30" t="s" s="210">
        <v>43</v>
      </c>
      <c r="L30" t="s" s="211">
        <v>43</v>
      </c>
      <c r="M30" s="79">
        <v>10</v>
      </c>
      <c r="N30" s="79">
        <v>15</v>
      </c>
      <c r="O30" s="79">
        <v>5</v>
      </c>
      <c r="P30" s="79">
        <v>8</v>
      </c>
      <c r="Q30" s="79">
        <v>8.5</v>
      </c>
      <c r="R30" s="79">
        <v>8.5</v>
      </c>
      <c r="S30" s="79">
        <v>8.5</v>
      </c>
      <c r="T30" s="79">
        <v>7</v>
      </c>
      <c r="U30" s="79">
        <f>M30+N30+O30+P30+Q30+R30+S30+T30+Y30+Z30+V30</f>
        <v>86.5</v>
      </c>
      <c r="V30" s="75"/>
      <c r="W30" s="79">
        <v>8</v>
      </c>
      <c r="X30" s="79">
        <v>0</v>
      </c>
      <c r="Y30" s="110">
        <v>8</v>
      </c>
      <c r="Z30" s="79">
        <v>8</v>
      </c>
      <c r="AA30" s="79">
        <v>8</v>
      </c>
      <c r="AB30" s="110">
        <v>10</v>
      </c>
      <c r="AC30" s="79">
        <v>10</v>
      </c>
      <c r="AD30" s="110">
        <v>5</v>
      </c>
      <c r="AE30" s="79">
        <v>0</v>
      </c>
      <c r="AF30" s="110">
        <v>15</v>
      </c>
      <c r="AG30" s="111">
        <f>W30+X30+Y30+Z30+AA30+AB30+AC30+AD30+AE30+AF30</f>
        <v>72</v>
      </c>
      <c r="AH30" s="273"/>
      <c r="AI30" s="78">
        <v>26</v>
      </c>
      <c r="AJ30" s="110">
        <v>10</v>
      </c>
      <c r="AK30" s="79">
        <v>18</v>
      </c>
      <c r="AL30" s="110">
        <v>25</v>
      </c>
      <c r="AM30" s="79">
        <v>10</v>
      </c>
      <c r="AN30" s="79">
        <v>13</v>
      </c>
      <c r="AO30" s="110">
        <v>7</v>
      </c>
      <c r="AP30" s="75"/>
      <c r="AQ30" s="110">
        <v>5</v>
      </c>
      <c r="AR30" s="79">
        <f>SUM(AJ30:AQ30)</f>
        <v>88</v>
      </c>
      <c r="AS30" s="18"/>
      <c r="AT30" s="78">
        <v>26</v>
      </c>
      <c r="AU30" s="110">
        <f>AR30+0</f>
        <v>88</v>
      </c>
      <c r="AV30" s="75"/>
      <c r="AW30" s="18"/>
      <c r="AX30" s="110">
        <f>AG30</f>
        <v>72</v>
      </c>
      <c r="AY30" s="75"/>
      <c r="AZ30" s="18"/>
      <c r="BA30" s="110">
        <v>87</v>
      </c>
      <c r="BB30" s="75"/>
      <c r="BC30" s="18"/>
      <c r="BD30" s="76"/>
      <c r="BE30" s="75"/>
      <c r="BF30" s="18"/>
      <c r="BG30" s="78">
        <v>26</v>
      </c>
      <c r="BH30" s="110">
        <f>AR30-1</f>
        <v>87</v>
      </c>
      <c r="BI30" s="75"/>
      <c r="BJ30" s="18"/>
      <c r="BK30" s="110">
        <f>AG30-1</f>
        <v>71</v>
      </c>
      <c r="BL30" s="75"/>
      <c r="BM30" s="18"/>
      <c r="BN30" s="110">
        <v>86</v>
      </c>
      <c r="BO30" s="75"/>
      <c r="BP30" s="18"/>
      <c r="BQ30" s="76"/>
      <c r="BR30" s="75"/>
      <c r="BS30" s="18"/>
      <c r="BT30" s="78">
        <v>26</v>
      </c>
      <c r="BU30" s="110">
        <f>AR30+2</f>
        <v>90</v>
      </c>
      <c r="BV30" s="75"/>
      <c r="BW30" s="18"/>
      <c r="BX30" s="110">
        <f>AG30+2</f>
        <v>74</v>
      </c>
      <c r="BY30" s="75"/>
      <c r="BZ30" s="18"/>
      <c r="CA30" s="110">
        <v>89</v>
      </c>
      <c r="CB30" s="75"/>
      <c r="CC30" s="18"/>
      <c r="CD30" s="76"/>
      <c r="CE30" s="75"/>
      <c r="CF30" s="18"/>
      <c r="CG30" s="78">
        <v>26</v>
      </c>
      <c r="CH30" s="110">
        <f>AR30+1</f>
        <v>89</v>
      </c>
      <c r="CI30" s="75"/>
      <c r="CJ30" s="18"/>
      <c r="CK30" s="110">
        <f>AG30+1</f>
        <v>73</v>
      </c>
      <c r="CL30" s="75"/>
      <c r="CM30" s="18"/>
      <c r="CN30" s="110">
        <v>88</v>
      </c>
      <c r="CO30" s="75"/>
      <c r="CP30" s="18"/>
      <c r="CQ30" s="76"/>
      <c r="CR30" s="75"/>
      <c r="CS30" s="18"/>
      <c r="CT30" s="78">
        <v>26</v>
      </c>
      <c r="CU30" s="79">
        <f>(AU30+AX30+BA30+BD30)/4</f>
        <v>61.75</v>
      </c>
      <c r="CV30" s="79">
        <f>(BH30+BK30+BN30+BQ30)/4</f>
        <v>61</v>
      </c>
      <c r="CW30" s="79">
        <f>(BU30+BX30+CA30+CD30)/4</f>
        <v>63.25</v>
      </c>
      <c r="CX30" s="79">
        <f>(CH30+CK30+CN30+CQ30)/4</f>
        <v>62.5</v>
      </c>
      <c r="CY30" s="18"/>
      <c r="CZ30" s="80">
        <f>SUM(CU30:CX30)/4</f>
        <v>62.125</v>
      </c>
      <c r="DA30" s="18"/>
      <c r="DB30" s="79">
        <f>CZ30*0.5</f>
        <v>31.0625</v>
      </c>
      <c r="DC30" s="75"/>
      <c r="DD30" s="79">
        <f>DC30*0.5</f>
        <v>0</v>
      </c>
      <c r="DE30" s="81">
        <f>DD30+DB30</f>
        <v>31.0625</v>
      </c>
      <c r="DF30" s="18"/>
      <c r="DG30" s="79">
        <f>CZ30*0.3</f>
        <v>18.6375</v>
      </c>
      <c r="DH30" s="75"/>
      <c r="DI30" s="79">
        <f>DH30*0.7</f>
        <v>0</v>
      </c>
      <c r="DJ30" s="81">
        <f>DI30+DG30</f>
        <v>18.6375</v>
      </c>
    </row>
    <row r="31" ht="13.5" customHeight="1">
      <c r="A31" s="68"/>
      <c r="B31" s="69">
        <v>27</v>
      </c>
      <c r="C31" t="s" s="70">
        <v>629</v>
      </c>
      <c r="D31" t="s" s="71">
        <v>630</v>
      </c>
      <c r="E31" t="s" s="72">
        <v>43</v>
      </c>
      <c r="F31" s="82"/>
      <c r="G31" t="s" s="232">
        <v>43</v>
      </c>
      <c r="H31" s="82"/>
      <c r="I31" t="s" s="72">
        <v>43</v>
      </c>
      <c r="J31" t="s" s="113">
        <v>43</v>
      </c>
      <c r="K31" t="s" s="210">
        <v>162</v>
      </c>
      <c r="L31" t="s" s="211">
        <v>43</v>
      </c>
      <c r="M31" s="79">
        <v>10</v>
      </c>
      <c r="N31" s="79">
        <v>19</v>
      </c>
      <c r="O31" s="79">
        <v>0</v>
      </c>
      <c r="P31" s="79">
        <v>8</v>
      </c>
      <c r="Q31" s="79">
        <v>9</v>
      </c>
      <c r="R31" s="79">
        <v>9</v>
      </c>
      <c r="S31" s="79">
        <v>10</v>
      </c>
      <c r="T31" s="79">
        <v>7</v>
      </c>
      <c r="U31" s="79">
        <f>M31+N31+O31+P31+Q31+R31+S31+T31+Y31+Z31+V31</f>
        <v>90</v>
      </c>
      <c r="V31" s="75"/>
      <c r="W31" s="79">
        <v>10</v>
      </c>
      <c r="X31" s="79">
        <v>0</v>
      </c>
      <c r="Y31" s="110">
        <v>9</v>
      </c>
      <c r="Z31" s="79">
        <v>9</v>
      </c>
      <c r="AA31" s="79">
        <v>5</v>
      </c>
      <c r="AB31" s="110">
        <v>10</v>
      </c>
      <c r="AC31" s="79">
        <v>13</v>
      </c>
      <c r="AD31" s="110">
        <v>5</v>
      </c>
      <c r="AE31" s="79">
        <v>5</v>
      </c>
      <c r="AF31" s="110">
        <v>15</v>
      </c>
      <c r="AG31" s="128">
        <f>W31+X31+Y31+Z31+AA31+AB31+AC31+AD31+AE31+AF31</f>
        <v>81</v>
      </c>
      <c r="AH31" t="s" s="299">
        <v>196</v>
      </c>
      <c r="AI31" s="78">
        <v>27</v>
      </c>
      <c r="AJ31" s="110">
        <v>10</v>
      </c>
      <c r="AK31" s="79">
        <v>15</v>
      </c>
      <c r="AL31" s="110">
        <v>25</v>
      </c>
      <c r="AM31" s="79">
        <v>8</v>
      </c>
      <c r="AN31" s="79">
        <v>10</v>
      </c>
      <c r="AO31" s="110">
        <v>9</v>
      </c>
      <c r="AP31" s="75"/>
      <c r="AQ31" s="110">
        <v>5</v>
      </c>
      <c r="AR31" s="79">
        <f>SUM(AJ31:AQ31)</f>
        <v>82</v>
      </c>
      <c r="AS31" s="300">
        <v>82</v>
      </c>
      <c r="AT31" s="78">
        <v>27</v>
      </c>
      <c r="AU31" s="110">
        <f>AR31+0</f>
        <v>82</v>
      </c>
      <c r="AV31" s="75"/>
      <c r="AW31" s="18"/>
      <c r="AX31" s="110">
        <f>AG31</f>
        <v>81</v>
      </c>
      <c r="AY31" s="75"/>
      <c r="AZ31" s="18"/>
      <c r="BA31" s="110">
        <f>U31</f>
        <v>90</v>
      </c>
      <c r="BB31" s="75"/>
      <c r="BC31" s="18"/>
      <c r="BD31" s="76"/>
      <c r="BE31" s="75"/>
      <c r="BF31" s="18"/>
      <c r="BG31" s="78">
        <v>27</v>
      </c>
      <c r="BH31" s="110">
        <f>AR31-1</f>
        <v>81</v>
      </c>
      <c r="BI31" s="75"/>
      <c r="BJ31" s="18"/>
      <c r="BK31" s="110">
        <f>AG31-1</f>
        <v>80</v>
      </c>
      <c r="BL31" s="75"/>
      <c r="BM31" s="18"/>
      <c r="BN31" s="110">
        <f>U31-1</f>
        <v>89</v>
      </c>
      <c r="BO31" s="75"/>
      <c r="BP31" s="18"/>
      <c r="BQ31" s="76"/>
      <c r="BR31" s="75"/>
      <c r="BS31" s="18"/>
      <c r="BT31" s="78">
        <v>27</v>
      </c>
      <c r="BU31" s="110">
        <f>AR31+2</f>
        <v>84</v>
      </c>
      <c r="BV31" s="75"/>
      <c r="BW31" s="18"/>
      <c r="BX31" s="110">
        <f>AG31+2</f>
        <v>83</v>
      </c>
      <c r="BY31" s="75"/>
      <c r="BZ31" s="18"/>
      <c r="CA31" s="110">
        <f>U31+2</f>
        <v>92</v>
      </c>
      <c r="CB31" s="75"/>
      <c r="CC31" s="18"/>
      <c r="CD31" s="76"/>
      <c r="CE31" s="75"/>
      <c r="CF31" s="18"/>
      <c r="CG31" s="78">
        <v>27</v>
      </c>
      <c r="CH31" s="110">
        <f>AR31+1</f>
        <v>83</v>
      </c>
      <c r="CI31" s="75"/>
      <c r="CJ31" s="18"/>
      <c r="CK31" s="110">
        <f>AG31+1</f>
        <v>82</v>
      </c>
      <c r="CL31" s="75"/>
      <c r="CM31" s="18"/>
      <c r="CN31" s="110">
        <f>U31+1</f>
        <v>91</v>
      </c>
      <c r="CO31" s="75"/>
      <c r="CP31" s="18"/>
      <c r="CQ31" s="76"/>
      <c r="CR31" s="75"/>
      <c r="CS31" s="18"/>
      <c r="CT31" s="78">
        <v>27</v>
      </c>
      <c r="CU31" s="79">
        <f>(AU31+AX31+BA31+BD31)/4</f>
        <v>63.25</v>
      </c>
      <c r="CV31" s="79">
        <f>(BH31+BK31+BN31+BQ31)/4</f>
        <v>62.5</v>
      </c>
      <c r="CW31" s="79">
        <f>(BU31+BX31+CA31+CD31)/4</f>
        <v>64.75</v>
      </c>
      <c r="CX31" s="79">
        <f>(CH31+CK31+CN31+CQ31)/4</f>
        <v>64</v>
      </c>
      <c r="CY31" s="18"/>
      <c r="CZ31" s="80">
        <f>SUM(CU31:CX31)/4</f>
        <v>63.625</v>
      </c>
      <c r="DA31" s="18"/>
      <c r="DB31" s="79">
        <f>CZ31*0.5</f>
        <v>31.8125</v>
      </c>
      <c r="DC31" s="75"/>
      <c r="DD31" s="79">
        <f>DC31*0.5</f>
        <v>0</v>
      </c>
      <c r="DE31" s="81">
        <f>DD31+DB31</f>
        <v>31.8125</v>
      </c>
      <c r="DF31" s="18"/>
      <c r="DG31" s="79">
        <f>CZ31*0.3</f>
        <v>19.0875</v>
      </c>
      <c r="DH31" s="75"/>
      <c r="DI31" s="79">
        <f>DH31*0.7</f>
        <v>0</v>
      </c>
      <c r="DJ31" s="81">
        <f>DI31+DG31</f>
        <v>19.0875</v>
      </c>
    </row>
    <row r="32" ht="13.5" customHeight="1">
      <c r="A32" s="68"/>
      <c r="B32" s="69">
        <v>28</v>
      </c>
      <c r="C32" t="s" s="70">
        <v>631</v>
      </c>
      <c r="D32" t="s" s="71">
        <v>632</v>
      </c>
      <c r="E32" t="s" s="72">
        <v>43</v>
      </c>
      <c r="F32" s="82"/>
      <c r="G32" t="s" s="232">
        <v>43</v>
      </c>
      <c r="H32" s="82"/>
      <c r="I32" t="s" s="72">
        <v>43</v>
      </c>
      <c r="J32" t="s" s="113">
        <v>43</v>
      </c>
      <c r="K32" t="s" s="210">
        <v>43</v>
      </c>
      <c r="L32" t="s" s="211">
        <v>162</v>
      </c>
      <c r="M32" s="79">
        <v>10</v>
      </c>
      <c r="N32" s="79">
        <v>18</v>
      </c>
      <c r="O32" s="75"/>
      <c r="P32" s="79">
        <v>9</v>
      </c>
      <c r="Q32" s="79">
        <v>8</v>
      </c>
      <c r="R32" s="79">
        <v>9</v>
      </c>
      <c r="S32" s="79">
        <v>8</v>
      </c>
      <c r="T32" s="79">
        <v>7</v>
      </c>
      <c r="U32" s="79">
        <f>M32+N32+O32+P32+Q32+R32+S32+T32+Y32+Z32+V32</f>
        <v>85</v>
      </c>
      <c r="V32" s="75"/>
      <c r="W32" s="79">
        <v>10</v>
      </c>
      <c r="X32" s="79">
        <v>0</v>
      </c>
      <c r="Y32" s="110">
        <v>8</v>
      </c>
      <c r="Z32" s="79">
        <v>8</v>
      </c>
      <c r="AA32" s="79">
        <v>10</v>
      </c>
      <c r="AB32" s="110">
        <v>15</v>
      </c>
      <c r="AC32" s="79">
        <v>15</v>
      </c>
      <c r="AD32" s="110">
        <v>0</v>
      </c>
      <c r="AE32" s="79">
        <v>0</v>
      </c>
      <c r="AF32" s="110">
        <v>15</v>
      </c>
      <c r="AG32" s="111">
        <f>W32+X32+Y32+Z32+AA32+AB32+AC32+AD32+AE32+AF32</f>
        <v>81</v>
      </c>
      <c r="AH32" s="273"/>
      <c r="AI32" s="78">
        <v>28</v>
      </c>
      <c r="AJ32" s="110">
        <v>10</v>
      </c>
      <c r="AK32" s="79">
        <v>11</v>
      </c>
      <c r="AL32" s="110">
        <v>25</v>
      </c>
      <c r="AM32" s="79">
        <v>10</v>
      </c>
      <c r="AN32" s="75"/>
      <c r="AO32" s="110">
        <v>8</v>
      </c>
      <c r="AP32" s="75"/>
      <c r="AQ32" s="110">
        <v>5</v>
      </c>
      <c r="AR32" s="79">
        <f>SUM(AJ32:AQ32)</f>
        <v>69</v>
      </c>
      <c r="AS32" s="18"/>
      <c r="AT32" s="78">
        <v>28</v>
      </c>
      <c r="AU32" s="110">
        <f>AR32+0</f>
        <v>69</v>
      </c>
      <c r="AV32" s="79">
        <v>69</v>
      </c>
      <c r="AW32" s="18"/>
      <c r="AX32" s="110">
        <f>AG32</f>
        <v>81</v>
      </c>
      <c r="AY32" s="75"/>
      <c r="AZ32" s="18"/>
      <c r="BA32" s="110">
        <f>U32</f>
        <v>85</v>
      </c>
      <c r="BB32" s="75"/>
      <c r="BC32" s="18"/>
      <c r="BD32" s="76"/>
      <c r="BE32" s="75"/>
      <c r="BF32" s="18"/>
      <c r="BG32" s="78">
        <v>28</v>
      </c>
      <c r="BH32" s="110">
        <f>AR32-1</f>
        <v>68</v>
      </c>
      <c r="BI32" s="79">
        <v>69</v>
      </c>
      <c r="BJ32" s="18"/>
      <c r="BK32" s="110">
        <f>AG32-1</f>
        <v>80</v>
      </c>
      <c r="BL32" s="75"/>
      <c r="BM32" s="18"/>
      <c r="BN32" s="110">
        <f>U32-1</f>
        <v>84</v>
      </c>
      <c r="BO32" s="75"/>
      <c r="BP32" s="18"/>
      <c r="BQ32" s="76"/>
      <c r="BR32" s="75"/>
      <c r="BS32" s="18"/>
      <c r="BT32" s="78">
        <v>28</v>
      </c>
      <c r="BU32" s="110">
        <f>AR32+2</f>
        <v>71</v>
      </c>
      <c r="BV32" s="75"/>
      <c r="BW32" s="18"/>
      <c r="BX32" s="110">
        <f>AG32+2</f>
        <v>83</v>
      </c>
      <c r="BY32" s="75"/>
      <c r="BZ32" s="18"/>
      <c r="CA32" s="110">
        <f>U32+2</f>
        <v>87</v>
      </c>
      <c r="CB32" s="75"/>
      <c r="CC32" s="18"/>
      <c r="CD32" s="76"/>
      <c r="CE32" s="75"/>
      <c r="CF32" s="18"/>
      <c r="CG32" s="78">
        <v>28</v>
      </c>
      <c r="CH32" s="110">
        <f>AR32+1</f>
        <v>70</v>
      </c>
      <c r="CI32" s="75"/>
      <c r="CJ32" s="18"/>
      <c r="CK32" s="110">
        <f>AG32+1</f>
        <v>82</v>
      </c>
      <c r="CL32" s="75"/>
      <c r="CM32" s="18"/>
      <c r="CN32" s="110">
        <f>U32+1</f>
        <v>86</v>
      </c>
      <c r="CO32" s="75"/>
      <c r="CP32" s="18"/>
      <c r="CQ32" s="76"/>
      <c r="CR32" s="75"/>
      <c r="CS32" s="18"/>
      <c r="CT32" s="78">
        <v>28</v>
      </c>
      <c r="CU32" s="79">
        <f>(AU32+AX32+BA32+BD32)/4</f>
        <v>58.75</v>
      </c>
      <c r="CV32" s="79">
        <f>(BH32+BK32+BN32+BQ32)/4</f>
        <v>58</v>
      </c>
      <c r="CW32" s="79">
        <f>(BU32+BX32+CA32+CD32)/4</f>
        <v>60.25</v>
      </c>
      <c r="CX32" s="79">
        <f>(CH32+CK32+CN32+CQ32)/4</f>
        <v>59.5</v>
      </c>
      <c r="CY32" s="18"/>
      <c r="CZ32" s="80">
        <f>SUM(CU32:CX32)/4</f>
        <v>59.125</v>
      </c>
      <c r="DA32" s="18"/>
      <c r="DB32" s="79">
        <f>CZ32*0.5</f>
        <v>29.5625</v>
      </c>
      <c r="DC32" s="75"/>
      <c r="DD32" s="79">
        <f>DC32*0.5</f>
        <v>0</v>
      </c>
      <c r="DE32" s="81">
        <f>DD32+DB32</f>
        <v>29.5625</v>
      </c>
      <c r="DF32" s="18"/>
      <c r="DG32" s="79">
        <f>CZ32*0.3</f>
        <v>17.7375</v>
      </c>
      <c r="DH32" s="75"/>
      <c r="DI32" s="79">
        <f>DH32*0.7</f>
        <v>0</v>
      </c>
      <c r="DJ32" s="81">
        <f>DI32+DG32</f>
        <v>17.7375</v>
      </c>
    </row>
    <row r="33" ht="15" customHeight="1">
      <c r="A33" s="68"/>
      <c r="B33" s="69">
        <v>29</v>
      </c>
      <c r="C33" t="s" s="70">
        <v>348</v>
      </c>
      <c r="D33" t="s" s="71">
        <v>633</v>
      </c>
      <c r="E33" t="s" s="72">
        <v>43</v>
      </c>
      <c r="F33" s="82"/>
      <c r="G33" t="s" s="232">
        <v>43</v>
      </c>
      <c r="H33" s="82"/>
      <c r="I33" t="s" s="72">
        <v>43</v>
      </c>
      <c r="J33" t="s" s="113">
        <v>43</v>
      </c>
      <c r="K33" t="s" s="210">
        <v>43</v>
      </c>
      <c r="L33" t="s" s="211">
        <v>43</v>
      </c>
      <c r="M33" s="79">
        <v>10</v>
      </c>
      <c r="N33" s="79">
        <v>18</v>
      </c>
      <c r="O33" s="79">
        <v>10</v>
      </c>
      <c r="P33" s="79">
        <v>9</v>
      </c>
      <c r="Q33" s="79">
        <v>6</v>
      </c>
      <c r="R33" s="79">
        <v>7</v>
      </c>
      <c r="S33" s="79">
        <v>8</v>
      </c>
      <c r="T33" s="79">
        <v>7</v>
      </c>
      <c r="U33" s="79">
        <f>M33+N33+O33+P33+Q33+R33+S33+T33+Y33+Z33+V33</f>
        <v>94</v>
      </c>
      <c r="V33" s="75"/>
      <c r="W33" s="79">
        <v>10</v>
      </c>
      <c r="X33" s="145">
        <v>10</v>
      </c>
      <c r="Y33" s="110">
        <v>10</v>
      </c>
      <c r="Z33" s="79">
        <v>9</v>
      </c>
      <c r="AA33" s="79">
        <v>9</v>
      </c>
      <c r="AB33" s="110">
        <v>8</v>
      </c>
      <c r="AC33" s="79">
        <v>17</v>
      </c>
      <c r="AD33" s="301">
        <v>0</v>
      </c>
      <c r="AE33" s="301">
        <v>4</v>
      </c>
      <c r="AF33" s="110">
        <v>15</v>
      </c>
      <c r="AG33" s="239">
        <f>W33+X33+Y33+Z33+AA33+AB33+AC33+AD33+AE33+AF33</f>
        <v>92</v>
      </c>
      <c r="AH33" s="273"/>
      <c r="AI33" s="78">
        <v>29</v>
      </c>
      <c r="AJ33" s="110">
        <v>10</v>
      </c>
      <c r="AK33" s="79">
        <v>20</v>
      </c>
      <c r="AL33" s="110">
        <v>25</v>
      </c>
      <c r="AM33" s="79">
        <v>10</v>
      </c>
      <c r="AN33" s="79">
        <v>14</v>
      </c>
      <c r="AO33" s="110">
        <v>9</v>
      </c>
      <c r="AP33" s="79">
        <v>2</v>
      </c>
      <c r="AQ33" s="110">
        <v>5</v>
      </c>
      <c r="AR33" s="79">
        <f>SUM(AJ33:AQ33)</f>
        <v>95</v>
      </c>
      <c r="AS33" s="18"/>
      <c r="AT33" s="78">
        <v>29</v>
      </c>
      <c r="AU33" s="110">
        <f>AR33+0</f>
        <v>95</v>
      </c>
      <c r="AV33" s="75"/>
      <c r="AW33" s="18"/>
      <c r="AX33" s="110">
        <f>AG33</f>
        <v>92</v>
      </c>
      <c r="AY33" s="75"/>
      <c r="AZ33" s="18"/>
      <c r="BA33" s="110">
        <f>U33</f>
        <v>94</v>
      </c>
      <c r="BB33" s="75"/>
      <c r="BC33" s="18"/>
      <c r="BD33" s="76"/>
      <c r="BE33" s="75"/>
      <c r="BF33" s="18"/>
      <c r="BG33" s="78">
        <v>29</v>
      </c>
      <c r="BH33" s="110">
        <f>AR33-1</f>
        <v>94</v>
      </c>
      <c r="BI33" s="75"/>
      <c r="BJ33" s="18"/>
      <c r="BK33" s="110">
        <f>AG33-1</f>
        <v>91</v>
      </c>
      <c r="BL33" s="75"/>
      <c r="BM33" s="18"/>
      <c r="BN33" s="110">
        <f>U33-1</f>
        <v>93</v>
      </c>
      <c r="BO33" s="75"/>
      <c r="BP33" s="18"/>
      <c r="BQ33" s="76"/>
      <c r="BR33" s="75"/>
      <c r="BS33" s="18"/>
      <c r="BT33" s="78">
        <v>29</v>
      </c>
      <c r="BU33" s="110">
        <f>AR33+2</f>
        <v>97</v>
      </c>
      <c r="BV33" s="75"/>
      <c r="BW33" s="18"/>
      <c r="BX33" s="110">
        <f>AG33+2</f>
        <v>94</v>
      </c>
      <c r="BY33" s="75"/>
      <c r="BZ33" s="18"/>
      <c r="CA33" s="110">
        <f>U33+2</f>
        <v>96</v>
      </c>
      <c r="CB33" s="75"/>
      <c r="CC33" s="18"/>
      <c r="CD33" s="76"/>
      <c r="CE33" s="75"/>
      <c r="CF33" s="18"/>
      <c r="CG33" s="78">
        <v>29</v>
      </c>
      <c r="CH33" s="110">
        <f>AR33+1</f>
        <v>96</v>
      </c>
      <c r="CI33" s="75"/>
      <c r="CJ33" s="18"/>
      <c r="CK33" s="110">
        <f>AG33+1</f>
        <v>93</v>
      </c>
      <c r="CL33" s="75"/>
      <c r="CM33" s="18"/>
      <c r="CN33" s="110">
        <f>U33+1</f>
        <v>95</v>
      </c>
      <c r="CO33" s="75"/>
      <c r="CP33" s="18"/>
      <c r="CQ33" s="76"/>
      <c r="CR33" s="75"/>
      <c r="CS33" s="18"/>
      <c r="CT33" s="78">
        <v>29</v>
      </c>
      <c r="CU33" s="79">
        <f>(AU33+AX33+BA33+BD33)/4</f>
        <v>70.25</v>
      </c>
      <c r="CV33" s="79">
        <f>(BH33+BK33+BN33+BQ33)/4</f>
        <v>69.5</v>
      </c>
      <c r="CW33" s="79">
        <f>(BU33+BX33+CA33+CD33)/4</f>
        <v>71.75</v>
      </c>
      <c r="CX33" s="79">
        <f>(CH33+CK33+CN33+CQ33)/4</f>
        <v>71</v>
      </c>
      <c r="CY33" s="18"/>
      <c r="CZ33" s="80">
        <f>SUM(CU33:CX33)/4</f>
        <v>70.625</v>
      </c>
      <c r="DA33" s="18"/>
      <c r="DB33" s="79">
        <f>CZ33*0.5</f>
        <v>35.3125</v>
      </c>
      <c r="DC33" s="75"/>
      <c r="DD33" s="79">
        <f>DC33*0.5</f>
        <v>0</v>
      </c>
      <c r="DE33" s="81">
        <f>DD33+DB33</f>
        <v>35.3125</v>
      </c>
      <c r="DF33" s="18"/>
      <c r="DG33" s="79">
        <f>CZ33*0.3</f>
        <v>21.1875</v>
      </c>
      <c r="DH33" s="75"/>
      <c r="DI33" s="79">
        <f>DH33*0.7</f>
        <v>0</v>
      </c>
      <c r="DJ33" s="81">
        <f>DI33+DG33</f>
        <v>21.1875</v>
      </c>
    </row>
    <row r="34" ht="15" customHeight="1">
      <c r="A34" s="68"/>
      <c r="B34" s="69">
        <v>30</v>
      </c>
      <c r="C34" t="s" s="70">
        <v>634</v>
      </c>
      <c r="D34" t="s" s="71">
        <v>635</v>
      </c>
      <c r="E34" t="s" s="72">
        <v>161</v>
      </c>
      <c r="F34" s="82"/>
      <c r="G34" t="s" s="232">
        <v>43</v>
      </c>
      <c r="H34" s="82"/>
      <c r="I34" t="s" s="72">
        <v>43</v>
      </c>
      <c r="J34" s="82"/>
      <c r="K34" t="s" s="210">
        <v>162</v>
      </c>
      <c r="L34" t="s" s="211">
        <v>43</v>
      </c>
      <c r="M34" s="79">
        <v>10</v>
      </c>
      <c r="N34" s="79">
        <v>20</v>
      </c>
      <c r="O34" s="79">
        <v>10</v>
      </c>
      <c r="P34" s="79">
        <v>39</v>
      </c>
      <c r="Q34" s="75"/>
      <c r="R34" s="75"/>
      <c r="S34" s="75"/>
      <c r="T34" s="79">
        <v>7</v>
      </c>
      <c r="U34" s="79">
        <f>M34+N34+O34+P34+Q34+R34+S34+T34+Y34+Z34+V34</f>
        <v>106</v>
      </c>
      <c r="V34" s="75"/>
      <c r="W34" s="79">
        <v>8</v>
      </c>
      <c r="X34" s="79">
        <v>10</v>
      </c>
      <c r="Y34" s="110">
        <v>10</v>
      </c>
      <c r="Z34" s="79">
        <v>10</v>
      </c>
      <c r="AA34" s="79">
        <v>10</v>
      </c>
      <c r="AB34" s="110">
        <v>10</v>
      </c>
      <c r="AC34" s="79">
        <v>20</v>
      </c>
      <c r="AD34" s="110">
        <v>5</v>
      </c>
      <c r="AE34" s="79">
        <v>5</v>
      </c>
      <c r="AF34" s="110">
        <v>15</v>
      </c>
      <c r="AG34" s="111">
        <f>W34+X34+Y34+Z34+AA34+AB34+AC34+AD34+AE34+AF34</f>
        <v>103</v>
      </c>
      <c r="AH34" s="273"/>
      <c r="AI34" s="78">
        <v>30</v>
      </c>
      <c r="AJ34" s="110">
        <v>10</v>
      </c>
      <c r="AK34" s="79">
        <v>20</v>
      </c>
      <c r="AL34" s="110">
        <v>25</v>
      </c>
      <c r="AM34" s="79">
        <v>10</v>
      </c>
      <c r="AN34" s="79">
        <v>15</v>
      </c>
      <c r="AO34" s="110">
        <v>10</v>
      </c>
      <c r="AP34" s="79">
        <v>5</v>
      </c>
      <c r="AQ34" s="110">
        <v>5</v>
      </c>
      <c r="AR34" s="79">
        <f>SUM(AJ34:AQ34)</f>
        <v>100</v>
      </c>
      <c r="AS34" s="18"/>
      <c r="AT34" s="78">
        <v>30</v>
      </c>
      <c r="AU34" s="110">
        <f>AR34+0</f>
        <v>100</v>
      </c>
      <c r="AV34" s="75"/>
      <c r="AW34" s="18"/>
      <c r="AX34" s="110">
        <v>100</v>
      </c>
      <c r="AY34" s="75"/>
      <c r="AZ34" s="18"/>
      <c r="BA34" s="110">
        <v>100</v>
      </c>
      <c r="BB34" s="75"/>
      <c r="BC34" s="18"/>
      <c r="BD34" s="76"/>
      <c r="BE34" s="75"/>
      <c r="BF34" s="18"/>
      <c r="BG34" s="78">
        <v>30</v>
      </c>
      <c r="BH34" s="110">
        <f>AR34-1</f>
        <v>99</v>
      </c>
      <c r="BI34" s="75"/>
      <c r="BJ34" s="18"/>
      <c r="BK34" s="110">
        <v>100</v>
      </c>
      <c r="BL34" s="75"/>
      <c r="BM34" s="18"/>
      <c r="BN34" s="110">
        <v>100</v>
      </c>
      <c r="BO34" s="75"/>
      <c r="BP34" s="18"/>
      <c r="BQ34" s="76"/>
      <c r="BR34" s="75"/>
      <c r="BS34" s="18"/>
      <c r="BT34" s="78">
        <v>30</v>
      </c>
      <c r="BU34" s="110">
        <v>100</v>
      </c>
      <c r="BV34" s="75"/>
      <c r="BW34" s="18"/>
      <c r="BX34" s="110">
        <v>100</v>
      </c>
      <c r="BY34" s="75"/>
      <c r="BZ34" s="18"/>
      <c r="CA34" s="110">
        <v>100</v>
      </c>
      <c r="CB34" s="75"/>
      <c r="CC34" s="18"/>
      <c r="CD34" s="76"/>
      <c r="CE34" s="75"/>
      <c r="CF34" s="18"/>
      <c r="CG34" s="78">
        <v>30</v>
      </c>
      <c r="CH34" s="110">
        <v>100</v>
      </c>
      <c r="CI34" s="75"/>
      <c r="CJ34" s="18"/>
      <c r="CK34" s="110">
        <v>100</v>
      </c>
      <c r="CL34" s="75"/>
      <c r="CM34" s="18"/>
      <c r="CN34" s="110">
        <v>100</v>
      </c>
      <c r="CO34" s="75"/>
      <c r="CP34" s="18"/>
      <c r="CQ34" s="76"/>
      <c r="CR34" s="75"/>
      <c r="CS34" s="18"/>
      <c r="CT34" s="78">
        <v>30</v>
      </c>
      <c r="CU34" s="79">
        <f>(AU34+AX34+BA34+BD34)/4</f>
        <v>75</v>
      </c>
      <c r="CV34" s="79">
        <f>(BH34+BK34+BN34+BQ34)/4</f>
        <v>74.75</v>
      </c>
      <c r="CW34" s="79">
        <f>(BU34+BX34+CA34+CD34)/4</f>
        <v>75</v>
      </c>
      <c r="CX34" s="79">
        <f>(CH34+CK34+CN34+CQ34)/4</f>
        <v>75</v>
      </c>
      <c r="CY34" s="18"/>
      <c r="CZ34" s="80">
        <f>SUM(CU34:CX34)/4</f>
        <v>74.9375</v>
      </c>
      <c r="DA34" s="18"/>
      <c r="DB34" s="79">
        <f>CZ34*0.5</f>
        <v>37.46875</v>
      </c>
      <c r="DC34" s="75"/>
      <c r="DD34" s="79">
        <f>DC34*0.5</f>
        <v>0</v>
      </c>
      <c r="DE34" s="81">
        <f>DD34+DB34</f>
        <v>37.46875</v>
      </c>
      <c r="DF34" s="18"/>
      <c r="DG34" s="79">
        <f>CZ34*0.3</f>
        <v>22.48125</v>
      </c>
      <c r="DH34" s="75"/>
      <c r="DI34" s="79">
        <f>DH34*0.7</f>
        <v>0</v>
      </c>
      <c r="DJ34" s="81">
        <f>DI34+DG34</f>
        <v>22.48125</v>
      </c>
    </row>
    <row r="35" ht="15" customHeight="1">
      <c r="A35" s="68"/>
      <c r="B35" s="69">
        <v>31</v>
      </c>
      <c r="C35" t="s" s="70">
        <v>636</v>
      </c>
      <c r="D35" t="s" s="71">
        <v>637</v>
      </c>
      <c r="E35" t="s" s="72">
        <v>43</v>
      </c>
      <c r="F35" s="82"/>
      <c r="G35" t="s" s="232">
        <v>43</v>
      </c>
      <c r="H35" s="82"/>
      <c r="I35" t="s" s="72">
        <v>43</v>
      </c>
      <c r="J35" t="s" s="113">
        <v>43</v>
      </c>
      <c r="K35" t="s" s="210">
        <v>43</v>
      </c>
      <c r="L35" t="s" s="211">
        <v>43</v>
      </c>
      <c r="M35" s="79">
        <v>10</v>
      </c>
      <c r="N35" s="79">
        <v>18</v>
      </c>
      <c r="O35" s="79">
        <v>13</v>
      </c>
      <c r="P35" s="79">
        <v>9</v>
      </c>
      <c r="Q35" s="79">
        <v>8</v>
      </c>
      <c r="R35" s="79">
        <v>9</v>
      </c>
      <c r="S35" s="79">
        <v>8</v>
      </c>
      <c r="T35" s="79">
        <v>7</v>
      </c>
      <c r="U35" s="79">
        <f>M35+N35+O35+P35+Q35+R35+S35+T35+Y35+Z35+V35</f>
        <v>102</v>
      </c>
      <c r="V35" s="75"/>
      <c r="W35" s="79">
        <v>10</v>
      </c>
      <c r="X35" s="79">
        <v>0</v>
      </c>
      <c r="Y35" s="110">
        <v>10</v>
      </c>
      <c r="Z35" s="79">
        <v>10</v>
      </c>
      <c r="AA35" s="79">
        <v>10</v>
      </c>
      <c r="AB35" s="110">
        <v>10</v>
      </c>
      <c r="AC35" s="79">
        <v>20</v>
      </c>
      <c r="AD35" s="110">
        <v>5</v>
      </c>
      <c r="AE35" s="79">
        <v>5</v>
      </c>
      <c r="AF35" s="110">
        <v>15</v>
      </c>
      <c r="AG35" s="111">
        <f>W35+X35+Y35+Z35+AA35+AB35+AC35+AD35+AE35+AF35</f>
        <v>95</v>
      </c>
      <c r="AH35" s="273"/>
      <c r="AI35" s="78">
        <v>31</v>
      </c>
      <c r="AJ35" s="110">
        <v>10</v>
      </c>
      <c r="AK35" s="79">
        <v>20</v>
      </c>
      <c r="AL35" s="110">
        <v>25</v>
      </c>
      <c r="AM35" s="79">
        <v>10</v>
      </c>
      <c r="AN35" s="79">
        <v>15</v>
      </c>
      <c r="AO35" s="110">
        <v>10</v>
      </c>
      <c r="AP35" s="79">
        <v>7</v>
      </c>
      <c r="AQ35" s="110">
        <v>5</v>
      </c>
      <c r="AR35" s="79">
        <f>SUM(AJ35:AQ35)</f>
        <v>102</v>
      </c>
      <c r="AS35" s="18"/>
      <c r="AT35" s="78">
        <v>31</v>
      </c>
      <c r="AU35" s="110">
        <v>100</v>
      </c>
      <c r="AV35" s="75"/>
      <c r="AW35" s="18"/>
      <c r="AX35" s="110">
        <f>AG35</f>
        <v>95</v>
      </c>
      <c r="AY35" s="75"/>
      <c r="AZ35" s="18"/>
      <c r="BA35" s="110">
        <v>100</v>
      </c>
      <c r="BB35" s="75"/>
      <c r="BC35" s="18"/>
      <c r="BD35" s="76"/>
      <c r="BE35" s="75"/>
      <c r="BF35" s="18"/>
      <c r="BG35" s="78">
        <v>31</v>
      </c>
      <c r="BH35" s="110">
        <v>100</v>
      </c>
      <c r="BI35" s="75"/>
      <c r="BJ35" s="18"/>
      <c r="BK35" s="110">
        <f>AG35-1</f>
        <v>94</v>
      </c>
      <c r="BL35" s="75"/>
      <c r="BM35" s="18"/>
      <c r="BN35" s="110">
        <v>100</v>
      </c>
      <c r="BO35" s="75"/>
      <c r="BP35" s="18"/>
      <c r="BQ35" s="76"/>
      <c r="BR35" s="75"/>
      <c r="BS35" s="18"/>
      <c r="BT35" s="78">
        <v>31</v>
      </c>
      <c r="BU35" s="110">
        <v>100</v>
      </c>
      <c r="BV35" s="75"/>
      <c r="BW35" s="18"/>
      <c r="BX35" s="110">
        <f>AG35+2</f>
        <v>97</v>
      </c>
      <c r="BY35" s="75"/>
      <c r="BZ35" s="18"/>
      <c r="CA35" s="110">
        <v>100</v>
      </c>
      <c r="CB35" s="75"/>
      <c r="CC35" s="18"/>
      <c r="CD35" s="76"/>
      <c r="CE35" s="75"/>
      <c r="CF35" s="18"/>
      <c r="CG35" s="78">
        <v>31</v>
      </c>
      <c r="CH35" s="110">
        <v>100</v>
      </c>
      <c r="CI35" s="75"/>
      <c r="CJ35" s="18"/>
      <c r="CK35" s="110">
        <f>AG35+1</f>
        <v>96</v>
      </c>
      <c r="CL35" s="75"/>
      <c r="CM35" s="18"/>
      <c r="CN35" s="110">
        <v>100</v>
      </c>
      <c r="CO35" s="75"/>
      <c r="CP35" s="18"/>
      <c r="CQ35" s="76"/>
      <c r="CR35" s="75"/>
      <c r="CS35" s="18"/>
      <c r="CT35" s="78">
        <v>31</v>
      </c>
      <c r="CU35" s="79">
        <f>(AU35+AX35+BA35+BD35)/4</f>
        <v>73.75</v>
      </c>
      <c r="CV35" s="79">
        <f>(BH35+BK35+BN35+BQ35)/4</f>
        <v>73.5</v>
      </c>
      <c r="CW35" s="79">
        <f>(BU35+BX35+CA35+CD35)/4</f>
        <v>74.25</v>
      </c>
      <c r="CX35" s="79">
        <f>(CH35+CK35+CN35+CQ35)/4</f>
        <v>74</v>
      </c>
      <c r="CY35" s="18"/>
      <c r="CZ35" s="80">
        <f>SUM(CU35:CX35)/4</f>
        <v>73.875</v>
      </c>
      <c r="DA35" s="18"/>
      <c r="DB35" s="79">
        <f>CZ35*0.5</f>
        <v>36.9375</v>
      </c>
      <c r="DC35" s="75"/>
      <c r="DD35" s="79">
        <f>DC35*0.5</f>
        <v>0</v>
      </c>
      <c r="DE35" s="81">
        <f>DD35+DB35</f>
        <v>36.9375</v>
      </c>
      <c r="DF35" s="18"/>
      <c r="DG35" s="79">
        <f>CZ35*0.3</f>
        <v>22.1625</v>
      </c>
      <c r="DH35" s="75"/>
      <c r="DI35" s="79">
        <f>DH35*0.7</f>
        <v>0</v>
      </c>
      <c r="DJ35" s="81">
        <f>DI35+DG35</f>
        <v>22.1625</v>
      </c>
    </row>
    <row r="36" ht="15" customHeight="1">
      <c r="A36" s="68"/>
      <c r="B36" s="69">
        <v>1</v>
      </c>
      <c r="C36" t="s" s="302">
        <v>638</v>
      </c>
      <c r="D36" s="303"/>
      <c r="E36" s="74"/>
      <c r="F36" s="82"/>
      <c r="G36" s="74"/>
      <c r="H36" s="82"/>
      <c r="I36" s="74"/>
      <c r="J36" s="82"/>
      <c r="K36" t="s" s="210">
        <v>43</v>
      </c>
      <c r="L36" t="s" s="211">
        <v>43</v>
      </c>
      <c r="M36" s="79">
        <v>10</v>
      </c>
      <c r="N36" s="79">
        <v>19</v>
      </c>
      <c r="O36" s="79">
        <v>10</v>
      </c>
      <c r="P36" s="79">
        <v>10</v>
      </c>
      <c r="Q36" s="79">
        <v>9</v>
      </c>
      <c r="R36" s="79">
        <v>10</v>
      </c>
      <c r="S36" s="79">
        <v>9</v>
      </c>
      <c r="T36" s="79">
        <v>7</v>
      </c>
      <c r="U36" s="79">
        <f>M36+N36+O36+P36+Q36+R36+S36+T36+Y36+Z36+V36</f>
        <v>102</v>
      </c>
      <c r="V36" s="75"/>
      <c r="W36" s="79">
        <v>10</v>
      </c>
      <c r="X36" s="79">
        <v>0</v>
      </c>
      <c r="Y36" s="110">
        <v>9</v>
      </c>
      <c r="Z36" s="79">
        <v>9</v>
      </c>
      <c r="AA36" s="79">
        <v>10</v>
      </c>
      <c r="AB36" s="110">
        <v>10</v>
      </c>
      <c r="AC36" s="79">
        <v>12</v>
      </c>
      <c r="AD36" s="110">
        <v>0</v>
      </c>
      <c r="AE36" s="79">
        <v>5</v>
      </c>
      <c r="AF36" s="110">
        <v>15</v>
      </c>
      <c r="AG36" s="111">
        <f>W36+X36+Y36+Z36+AA36+AB36+AC36+AD36+AE36+AF36</f>
        <v>80</v>
      </c>
      <c r="AH36" s="273"/>
      <c r="AI36" s="78">
        <v>32</v>
      </c>
      <c r="AJ36" s="110">
        <v>10</v>
      </c>
      <c r="AK36" s="79">
        <v>15</v>
      </c>
      <c r="AL36" s="110">
        <v>25</v>
      </c>
      <c r="AM36" s="79">
        <v>10</v>
      </c>
      <c r="AN36" s="79">
        <v>10</v>
      </c>
      <c r="AO36" s="110">
        <v>10</v>
      </c>
      <c r="AP36" s="75"/>
      <c r="AQ36" s="110">
        <v>5</v>
      </c>
      <c r="AR36" s="79">
        <f>SUM(AJ36:AQ36)</f>
        <v>85</v>
      </c>
      <c r="AS36" s="112">
        <v>85</v>
      </c>
      <c r="AT36" s="78">
        <v>32</v>
      </c>
      <c r="AU36" s="110">
        <f>AR36+0</f>
        <v>85</v>
      </c>
      <c r="AV36" s="75"/>
      <c r="AW36" s="18"/>
      <c r="AX36" s="110">
        <f>AG36</f>
        <v>80</v>
      </c>
      <c r="AY36" s="75"/>
      <c r="AZ36" s="18"/>
      <c r="BA36" s="110">
        <v>100</v>
      </c>
      <c r="BB36" s="75"/>
      <c r="BC36" s="18"/>
      <c r="BD36" s="76"/>
      <c r="BE36" s="75"/>
      <c r="BF36" s="18"/>
      <c r="BG36" s="78">
        <v>32</v>
      </c>
      <c r="BH36" s="110">
        <f>AR36-1</f>
        <v>84</v>
      </c>
      <c r="BI36" s="75"/>
      <c r="BJ36" s="18"/>
      <c r="BK36" s="110">
        <f>AG36-1</f>
        <v>79</v>
      </c>
      <c r="BL36" s="75"/>
      <c r="BM36" s="18"/>
      <c r="BN36" s="110">
        <v>100</v>
      </c>
      <c r="BO36" s="75"/>
      <c r="BP36" s="18"/>
      <c r="BQ36" s="76"/>
      <c r="BR36" s="75"/>
      <c r="BS36" s="18"/>
      <c r="BT36" s="78">
        <v>32</v>
      </c>
      <c r="BU36" s="110">
        <f>AR36+2</f>
        <v>87</v>
      </c>
      <c r="BV36" s="75"/>
      <c r="BW36" s="18"/>
      <c r="BX36" s="110">
        <f>AG36+2</f>
        <v>82</v>
      </c>
      <c r="BY36" s="75"/>
      <c r="BZ36" s="18"/>
      <c r="CA36" s="110">
        <v>100</v>
      </c>
      <c r="CB36" s="75"/>
      <c r="CC36" s="18"/>
      <c r="CD36" s="76"/>
      <c r="CE36" s="75"/>
      <c r="CF36" s="18"/>
      <c r="CG36" s="78">
        <v>32</v>
      </c>
      <c r="CH36" s="110">
        <f>AR36+1</f>
        <v>86</v>
      </c>
      <c r="CI36" s="75"/>
      <c r="CJ36" s="18"/>
      <c r="CK36" s="110">
        <f>AG36+1</f>
        <v>81</v>
      </c>
      <c r="CL36" s="75"/>
      <c r="CM36" s="18"/>
      <c r="CN36" s="110">
        <v>100</v>
      </c>
      <c r="CO36" s="75"/>
      <c r="CP36" s="18"/>
      <c r="CQ36" s="76"/>
      <c r="CR36" s="75"/>
      <c r="CS36" s="18"/>
      <c r="CT36" s="78">
        <v>32</v>
      </c>
      <c r="CU36" s="79">
        <f>(AU36+AX36+BA36+BD36)/4</f>
        <v>66.25</v>
      </c>
      <c r="CV36" s="79">
        <f>(BH36+BK36+BN36+BQ36)/4</f>
        <v>65.75</v>
      </c>
      <c r="CW36" s="79">
        <f>(BU36+BX36+CA36+CD36)/4</f>
        <v>67.25</v>
      </c>
      <c r="CX36" s="79">
        <f>(CH36+CK36+CN36+CQ36)/4</f>
        <v>66.75</v>
      </c>
      <c r="CY36" s="18"/>
      <c r="CZ36" s="80">
        <f>SUM(CU36:CX36)/4</f>
        <v>66.5</v>
      </c>
      <c r="DA36" s="18"/>
      <c r="DB36" s="79">
        <f>CZ36*0.5</f>
        <v>33.25</v>
      </c>
      <c r="DC36" s="75"/>
      <c r="DD36" s="79">
        <f>DC36*0.5</f>
        <v>0</v>
      </c>
      <c r="DE36" s="81">
        <f>DD36+DB36</f>
        <v>33.25</v>
      </c>
      <c r="DF36" s="18"/>
      <c r="DG36" s="79">
        <f>CZ36*0.3</f>
        <v>19.95</v>
      </c>
      <c r="DH36" s="75"/>
      <c r="DI36" s="79">
        <f>DH36*0.7</f>
        <v>0</v>
      </c>
      <c r="DJ36" s="81">
        <f>DI36+DG36</f>
        <v>19.95</v>
      </c>
    </row>
    <row r="37" ht="15" customHeight="1">
      <c r="A37" s="188"/>
      <c r="B37" s="11"/>
      <c r="C37" s="11"/>
      <c r="D37" s="11"/>
      <c r="E37" s="11"/>
      <c r="F37" s="147"/>
      <c r="G37" s="11"/>
      <c r="H37" s="147"/>
      <c r="I37" s="11"/>
      <c r="J37" s="147"/>
      <c r="K37" s="23"/>
      <c r="L37" s="23"/>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23"/>
      <c r="AT37" s="11"/>
      <c r="AU37" s="11"/>
      <c r="AV37" s="11"/>
      <c r="AW37" s="23"/>
      <c r="AX37" s="11"/>
      <c r="AY37" s="11"/>
      <c r="AZ37" s="23"/>
      <c r="BA37" s="11"/>
      <c r="BB37" s="11"/>
      <c r="BC37" s="23"/>
      <c r="BD37" s="11"/>
      <c r="BE37" s="11"/>
      <c r="BF37" s="23"/>
      <c r="BG37" s="11"/>
      <c r="BH37" s="11"/>
      <c r="BI37" s="11"/>
      <c r="BJ37" s="23"/>
      <c r="BK37" s="11"/>
      <c r="BL37" s="11"/>
      <c r="BM37" s="23"/>
      <c r="BN37" s="11"/>
      <c r="BO37" s="11"/>
      <c r="BP37" s="23"/>
      <c r="BQ37" s="11"/>
      <c r="BR37" s="11"/>
      <c r="BS37" s="23"/>
      <c r="BT37" s="11"/>
      <c r="BU37" s="11"/>
      <c r="BV37" s="11"/>
      <c r="BW37" s="23"/>
      <c r="BX37" s="11"/>
      <c r="BY37" s="11"/>
      <c r="BZ37" s="23"/>
      <c r="CA37" s="11"/>
      <c r="CB37" s="11"/>
      <c r="CC37" s="23"/>
      <c r="CD37" s="11"/>
      <c r="CE37" s="11"/>
      <c r="CF37" s="23"/>
      <c r="CG37" s="11"/>
      <c r="CH37" s="11"/>
      <c r="CI37" s="11"/>
      <c r="CJ37" s="23"/>
      <c r="CK37" s="11"/>
      <c r="CL37" s="11"/>
      <c r="CM37" s="23"/>
      <c r="CN37" s="11"/>
      <c r="CO37" s="11"/>
      <c r="CP37" s="23"/>
      <c r="CQ37" s="11"/>
      <c r="CR37" s="11"/>
      <c r="CS37" s="23"/>
      <c r="CT37" s="11"/>
      <c r="CU37" s="11"/>
      <c r="CV37" s="11"/>
      <c r="CW37" s="11"/>
      <c r="CX37" s="11"/>
      <c r="CY37" s="23"/>
      <c r="CZ37" s="11"/>
      <c r="DA37" s="23"/>
      <c r="DB37" s="11"/>
      <c r="DC37" s="11"/>
      <c r="DD37" s="11"/>
      <c r="DE37" s="11"/>
      <c r="DF37" s="23"/>
      <c r="DG37" s="11"/>
      <c r="DH37" s="11"/>
      <c r="DI37" s="11"/>
      <c r="DJ37" s="153"/>
    </row>
    <row r="38" ht="15" customHeight="1">
      <c r="A38" s="146"/>
      <c r="B38" s="23"/>
      <c r="C38" s="23"/>
      <c r="D38" s="154">
        <v>375</v>
      </c>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156"/>
    </row>
    <row r="39" ht="15" customHeight="1">
      <c r="A39" s="146"/>
      <c r="B39" s="23"/>
      <c r="C39" s="23"/>
      <c r="D39" s="154">
        <v>13750</v>
      </c>
      <c r="E39" s="23"/>
      <c r="F39" s="154">
        <v>90000</v>
      </c>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156"/>
    </row>
    <row r="40" ht="15" customHeight="1">
      <c r="A40" s="146"/>
      <c r="B40" s="23"/>
      <c r="C40" s="23"/>
      <c r="D40" s="154">
        <v>7000</v>
      </c>
      <c r="E40" s="23"/>
      <c r="F40" s="154">
        <f>F39/4</f>
        <v>22500</v>
      </c>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156"/>
    </row>
    <row r="41" ht="15" customHeight="1">
      <c r="A41" s="146"/>
      <c r="B41" s="23"/>
      <c r="C41" s="23"/>
      <c r="D41" s="154">
        <v>12000</v>
      </c>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156"/>
    </row>
    <row r="42" ht="15" customHeight="1">
      <c r="A42" s="146"/>
      <c r="B42" s="23"/>
      <c r="C42" s="23"/>
      <c r="D42" s="154">
        <v>10350</v>
      </c>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156"/>
    </row>
    <row r="43" ht="15" customHeight="1">
      <c r="A43" s="146"/>
      <c r="B43" s="23"/>
      <c r="C43" s="23"/>
      <c r="D43" s="154">
        <v>8000</v>
      </c>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156"/>
    </row>
    <row r="44" ht="15" customHeight="1">
      <c r="A44" s="146"/>
      <c r="B44" s="23"/>
      <c r="C44" s="23"/>
      <c r="D44" s="154">
        <v>2500</v>
      </c>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156"/>
    </row>
    <row r="45" ht="15" customHeight="1">
      <c r="A45" s="146"/>
      <c r="B45" s="23"/>
      <c r="C45" s="23"/>
      <c r="D45" s="154">
        <v>8000</v>
      </c>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156"/>
    </row>
    <row r="46" ht="15" customHeight="1">
      <c r="A46" s="146"/>
      <c r="B46" s="23"/>
      <c r="C46" s="23"/>
      <c r="D46" s="154">
        <f>SUM(D37:D45)</f>
        <v>61975</v>
      </c>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156"/>
    </row>
    <row r="47" ht="15" customHeight="1">
      <c r="A47" s="146"/>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156"/>
    </row>
    <row r="48" ht="15" customHeight="1">
      <c r="A48" s="85"/>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24"/>
      <c r="AI48" s="24"/>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159"/>
    </row>
  </sheetData>
  <mergeCells count="22">
    <mergeCell ref="DI3:DI4"/>
    <mergeCell ref="DJ3:DJ4"/>
    <mergeCell ref="DG2:DJ2"/>
    <mergeCell ref="AU3:BE3"/>
    <mergeCell ref="BH3:BR3"/>
    <mergeCell ref="BU3:CE3"/>
    <mergeCell ref="CH3:CR3"/>
    <mergeCell ref="CU3:CU4"/>
    <mergeCell ref="CV3:CV4"/>
    <mergeCell ref="CW3:CW4"/>
    <mergeCell ref="CX3:CX4"/>
    <mergeCell ref="CZ3:CZ4"/>
    <mergeCell ref="DB3:DB4"/>
    <mergeCell ref="DC3:DC4"/>
    <mergeCell ref="DD3:DD4"/>
    <mergeCell ref="DE3:DE4"/>
    <mergeCell ref="DG3:DG4"/>
    <mergeCell ref="DH3:DH4"/>
    <mergeCell ref="E1:AG1"/>
    <mergeCell ref="AJ2:AR2"/>
    <mergeCell ref="CU2:CX2"/>
    <mergeCell ref="DB2:DE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DQ48"/>
  <sheetViews>
    <sheetView workbookViewId="0" showGridLines="0" defaultGridColor="1"/>
  </sheetViews>
  <sheetFormatPr defaultColWidth="10.8333" defaultRowHeight="15" customHeight="1" outlineLevelRow="0" outlineLevelCol="0"/>
  <cols>
    <col min="1" max="1" width="10.8516" style="304" customWidth="1"/>
    <col min="2" max="2" width="4" style="304" customWidth="1"/>
    <col min="3" max="3" width="25.6719" style="304" customWidth="1"/>
    <col min="4" max="4" width="21.8516" style="304" customWidth="1"/>
    <col min="5" max="8" width="3" style="304" customWidth="1"/>
    <col min="9" max="26" width="4.67188" style="304" customWidth="1"/>
    <col min="27" max="27" width="5.375" style="304" customWidth="1"/>
    <col min="28" max="28" width="5.60156" style="304" customWidth="1"/>
    <col min="29" max="29" width="4.01562" style="304" customWidth="1"/>
    <col min="30" max="30" width="6.5625" style="304" customWidth="1"/>
    <col min="31" max="31" width="5.35156" style="304" customWidth="1"/>
    <col min="32" max="32" width="5.17969" style="304" customWidth="1"/>
    <col min="33" max="33" width="4.08594" style="304" customWidth="1"/>
    <col min="34" max="34" width="4.72656" style="304" customWidth="1"/>
    <col min="35" max="35" width="4.01562" style="304" customWidth="1"/>
    <col min="36" max="36" width="4.25" style="304" customWidth="1"/>
    <col min="37" max="41" width="3" style="304" customWidth="1"/>
    <col min="42" max="42" width="2.67188" style="304" customWidth="1"/>
    <col min="43" max="52" width="5.17188" style="304" customWidth="1"/>
    <col min="53" max="53" width="3.5" style="304" customWidth="1"/>
    <col min="54" max="54" width="5.67188" style="304" customWidth="1"/>
    <col min="55" max="55" width="5.5" style="304" customWidth="1"/>
    <col min="56" max="56" width="1.5" style="304" customWidth="1"/>
    <col min="57" max="58" width="5.35156" style="304" customWidth="1"/>
    <col min="59" max="59" width="1.5" style="304" customWidth="1"/>
    <col min="60" max="61" width="5.17188" style="304" customWidth="1"/>
    <col min="62" max="62" width="1.5" style="304" customWidth="1"/>
    <col min="63" max="65" width="4.5" style="304" customWidth="1"/>
    <col min="66" max="66" width="5" style="304" customWidth="1"/>
    <col min="67" max="67" width="5.67188" style="304" customWidth="1"/>
    <col min="68" max="68" width="5.5" style="304" customWidth="1"/>
    <col min="69" max="69" width="1.5" style="304" customWidth="1"/>
    <col min="70" max="71" width="5.35156" style="304" customWidth="1"/>
    <col min="72" max="72" width="1.5" style="304" customWidth="1"/>
    <col min="73" max="74" width="5.17188" style="304" customWidth="1"/>
    <col min="75" max="75" width="1.5" style="304" customWidth="1"/>
    <col min="76" max="79" width="4.5" style="304" customWidth="1"/>
    <col min="80" max="80" width="5.67188" style="304" customWidth="1"/>
    <col min="81" max="81" width="5.5" style="304" customWidth="1"/>
    <col min="82" max="82" width="1.5" style="304" customWidth="1"/>
    <col min="83" max="84" width="5.35156" style="304" customWidth="1"/>
    <col min="85" max="85" width="1.5" style="304" customWidth="1"/>
    <col min="86" max="87" width="5.17188" style="304" customWidth="1"/>
    <col min="88" max="88" width="1.5" style="304" customWidth="1"/>
    <col min="89" max="91" width="4.5" style="304" customWidth="1"/>
    <col min="92" max="92" width="4" style="304" customWidth="1"/>
    <col min="93" max="93" width="5.67188" style="304" customWidth="1"/>
    <col min="94" max="94" width="5.5" style="304" customWidth="1"/>
    <col min="95" max="95" width="1.5" style="304" customWidth="1"/>
    <col min="96" max="97" width="5.35156" style="304" customWidth="1"/>
    <col min="98" max="98" width="1.5" style="304" customWidth="1"/>
    <col min="99" max="100" width="5.17188" style="304" customWidth="1"/>
    <col min="101" max="101" width="1.5" style="304" customWidth="1"/>
    <col min="102" max="104" width="4.5" style="304" customWidth="1"/>
    <col min="105" max="105" width="4" style="304" customWidth="1"/>
    <col min="106" max="109" width="6.5" style="304" customWidth="1"/>
    <col min="110" max="110" width="5.17188" style="304" customWidth="1"/>
    <col min="111" max="111" width="5.67188" style="304" customWidth="1"/>
    <col min="112" max="112" width="2.5" style="304" customWidth="1"/>
    <col min="113" max="116" width="5.17188" style="304" customWidth="1"/>
    <col min="117" max="117" width="2.85156" style="304" customWidth="1"/>
    <col min="118" max="121" width="4.67188" style="304" customWidth="1"/>
    <col min="122" max="16384" width="10.8516" style="304" customWidth="1"/>
  </cols>
  <sheetData>
    <row r="1" ht="13.5" customHeight="1">
      <c r="A1" s="7"/>
      <c r="B1" s="8">
        <v>23</v>
      </c>
      <c r="C1" s="7"/>
      <c r="D1" s="7"/>
      <c r="E1" t="s" s="9">
        <v>6</v>
      </c>
      <c r="F1" s="10"/>
      <c r="G1" s="10"/>
      <c r="H1" s="10"/>
      <c r="I1" s="12"/>
      <c r="J1" s="12"/>
      <c r="K1" s="12"/>
      <c r="L1" s="12"/>
      <c r="M1" s="12"/>
      <c r="N1" s="12"/>
      <c r="O1" s="12"/>
      <c r="P1" s="12"/>
      <c r="Q1" s="12"/>
      <c r="R1" s="12"/>
      <c r="S1" s="12"/>
      <c r="T1" s="12"/>
      <c r="U1" s="12"/>
      <c r="V1" s="12"/>
      <c r="W1" s="12"/>
      <c r="X1" s="12"/>
      <c r="Y1" s="12"/>
      <c r="Z1" s="10"/>
      <c r="AA1" s="10"/>
      <c r="AB1" s="10"/>
      <c r="AC1" s="12"/>
      <c r="AD1" s="12"/>
      <c r="AE1" s="12"/>
      <c r="AF1" s="12"/>
      <c r="AG1" s="12"/>
      <c r="AH1" s="12"/>
      <c r="AI1" s="10"/>
      <c r="AJ1" s="10"/>
      <c r="AK1" s="10"/>
      <c r="AL1" s="10"/>
      <c r="AM1" s="10"/>
      <c r="AN1" s="10"/>
      <c r="AO1" s="10"/>
      <c r="AP1" s="11"/>
      <c r="AQ1" s="12"/>
      <c r="AR1" s="12"/>
      <c r="AS1" s="12"/>
      <c r="AT1" s="12"/>
      <c r="AU1" s="12"/>
      <c r="AV1" s="12"/>
      <c r="AW1" s="12"/>
      <c r="AX1" s="12"/>
      <c r="AY1" s="12"/>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2"/>
      <c r="DC1" s="12"/>
      <c r="DD1" s="12"/>
      <c r="DE1" s="12"/>
      <c r="DF1" s="13"/>
      <c r="DG1" s="13"/>
      <c r="DH1" s="13"/>
      <c r="DI1" s="12"/>
      <c r="DJ1" s="12"/>
      <c r="DK1" s="12"/>
      <c r="DL1" s="12"/>
      <c r="DM1" s="13"/>
      <c r="DN1" s="12"/>
      <c r="DO1" s="12"/>
      <c r="DP1" s="12"/>
      <c r="DQ1" s="14"/>
    </row>
    <row r="2" ht="12.75" customHeight="1">
      <c r="A2" s="7"/>
      <c r="B2" s="15"/>
      <c r="C2" s="7"/>
      <c r="D2" s="93"/>
      <c r="E2" s="79">
        <v>1</v>
      </c>
      <c r="F2" s="79">
        <v>2</v>
      </c>
      <c r="G2" s="79">
        <v>3</v>
      </c>
      <c r="H2" s="79">
        <v>4</v>
      </c>
      <c r="I2" s="75"/>
      <c r="J2" s="75"/>
      <c r="K2" s="75"/>
      <c r="L2" s="75"/>
      <c r="M2" s="75"/>
      <c r="N2" s="75"/>
      <c r="O2" s="75"/>
      <c r="P2" s="75"/>
      <c r="Q2" s="75"/>
      <c r="R2" s="75"/>
      <c r="S2" s="75"/>
      <c r="T2" s="75"/>
      <c r="U2" s="75"/>
      <c r="V2" s="75"/>
      <c r="W2" s="75"/>
      <c r="X2" s="75"/>
      <c r="Y2" s="75"/>
      <c r="Z2" s="79">
        <v>5</v>
      </c>
      <c r="AA2" s="79">
        <v>6</v>
      </c>
      <c r="AB2" s="79">
        <v>7</v>
      </c>
      <c r="AC2" s="75"/>
      <c r="AD2" s="75"/>
      <c r="AE2" s="75"/>
      <c r="AF2" s="75"/>
      <c r="AG2" s="75"/>
      <c r="AH2" s="75"/>
      <c r="AI2" s="79">
        <v>8</v>
      </c>
      <c r="AJ2" s="79">
        <v>9</v>
      </c>
      <c r="AK2" s="79">
        <v>10</v>
      </c>
      <c r="AL2" s="79">
        <v>11</v>
      </c>
      <c r="AM2" s="79">
        <v>12</v>
      </c>
      <c r="AN2" s="79">
        <v>13</v>
      </c>
      <c r="AO2" s="79">
        <v>14</v>
      </c>
      <c r="AP2" s="18"/>
      <c r="AQ2" t="s" s="19">
        <v>7</v>
      </c>
      <c r="AR2" s="20"/>
      <c r="AS2" s="20"/>
      <c r="AT2" s="20"/>
      <c r="AU2" s="20"/>
      <c r="AV2" s="20"/>
      <c r="AW2" s="20"/>
      <c r="AX2" s="20"/>
      <c r="AY2" s="21"/>
      <c r="AZ2" s="22"/>
      <c r="BA2" s="23"/>
      <c r="BB2" s="24"/>
      <c r="BC2" s="24"/>
      <c r="BD2" s="24"/>
      <c r="BE2" s="24"/>
      <c r="BF2" s="24"/>
      <c r="BG2" s="24"/>
      <c r="BH2" s="24"/>
      <c r="BI2" s="24"/>
      <c r="BJ2" s="24"/>
      <c r="BK2" s="24"/>
      <c r="BL2" s="24"/>
      <c r="BM2" s="23"/>
      <c r="BN2" s="23"/>
      <c r="BO2" s="24"/>
      <c r="BP2" s="24"/>
      <c r="BQ2" s="24"/>
      <c r="BR2" s="24"/>
      <c r="BS2" s="24"/>
      <c r="BT2" s="24"/>
      <c r="BU2" s="24"/>
      <c r="BV2" s="24"/>
      <c r="BW2" s="24"/>
      <c r="BX2" s="24"/>
      <c r="BY2" s="24"/>
      <c r="BZ2" s="23"/>
      <c r="CA2" s="23"/>
      <c r="CB2" s="24"/>
      <c r="CC2" s="24"/>
      <c r="CD2" s="24"/>
      <c r="CE2" s="24"/>
      <c r="CF2" s="24"/>
      <c r="CG2" s="24"/>
      <c r="CH2" s="24"/>
      <c r="CI2" s="24"/>
      <c r="CJ2" s="24"/>
      <c r="CK2" s="24"/>
      <c r="CL2" s="24"/>
      <c r="CM2" s="23"/>
      <c r="CN2" s="23"/>
      <c r="CO2" s="24"/>
      <c r="CP2" s="24"/>
      <c r="CQ2" s="24"/>
      <c r="CR2" s="24"/>
      <c r="CS2" s="24"/>
      <c r="CT2" s="24"/>
      <c r="CU2" s="24"/>
      <c r="CV2" s="24"/>
      <c r="CW2" s="24"/>
      <c r="CX2" s="24"/>
      <c r="CY2" s="24"/>
      <c r="CZ2" s="23"/>
      <c r="DA2" s="25"/>
      <c r="DB2" t="s" s="26">
        <v>8</v>
      </c>
      <c r="DC2" s="27"/>
      <c r="DD2" s="27"/>
      <c r="DE2" s="27"/>
      <c r="DF2" s="28"/>
      <c r="DG2" s="24"/>
      <c r="DH2" s="25"/>
      <c r="DI2" t="s" s="29">
        <v>9</v>
      </c>
      <c r="DJ2" s="30"/>
      <c r="DK2" s="30"/>
      <c r="DL2" s="30"/>
      <c r="DM2" s="18"/>
      <c r="DN2" t="s" s="29">
        <v>10</v>
      </c>
      <c r="DO2" s="30"/>
      <c r="DP2" s="30"/>
      <c r="DQ2" s="30"/>
    </row>
    <row r="3" ht="52.5" customHeight="1">
      <c r="A3" s="31">
        <f>SUM(A4:A27)</f>
        <v>18</v>
      </c>
      <c r="B3" s="32"/>
      <c r="C3" t="s" s="96">
        <v>134</v>
      </c>
      <c r="D3" s="97"/>
      <c r="E3" s="35"/>
      <c r="F3" s="35"/>
      <c r="G3" s="100">
        <v>45960</v>
      </c>
      <c r="H3" s="35"/>
      <c r="I3" s="35"/>
      <c r="J3" s="35"/>
      <c r="K3" s="35"/>
      <c r="L3" t="s" s="36">
        <v>39</v>
      </c>
      <c r="M3" s="35"/>
      <c r="N3" s="35"/>
      <c r="O3" s="35"/>
      <c r="P3" s="35"/>
      <c r="Q3" s="35"/>
      <c r="R3" s="35"/>
      <c r="S3" t="s" s="36">
        <v>640</v>
      </c>
      <c r="T3" s="75"/>
      <c r="U3" s="75"/>
      <c r="V3" s="75"/>
      <c r="W3" s="35"/>
      <c r="X3" s="35"/>
      <c r="Y3" s="35"/>
      <c r="Z3" t="s" s="36">
        <v>142</v>
      </c>
      <c r="AA3" t="s" s="36">
        <v>564</v>
      </c>
      <c r="AB3" t="s" s="36">
        <v>137</v>
      </c>
      <c r="AC3" t="s" s="36">
        <v>138</v>
      </c>
      <c r="AD3" t="s" s="36">
        <v>565</v>
      </c>
      <c r="AE3" t="s" s="36">
        <v>140</v>
      </c>
      <c r="AF3" t="s" s="36">
        <v>566</v>
      </c>
      <c r="AG3" t="s" s="83">
        <v>279</v>
      </c>
      <c r="AH3" t="s" s="36">
        <v>567</v>
      </c>
      <c r="AI3" t="s" s="36">
        <v>641</v>
      </c>
      <c r="AJ3" s="35"/>
      <c r="AK3" s="35"/>
      <c r="AL3" s="35"/>
      <c r="AM3" s="35"/>
      <c r="AN3" s="35"/>
      <c r="AO3" s="35"/>
      <c r="AP3" s="18"/>
      <c r="AQ3" t="s" s="36">
        <v>142</v>
      </c>
      <c r="AR3" t="s" s="36">
        <v>140</v>
      </c>
      <c r="AS3" t="s" s="36">
        <v>144</v>
      </c>
      <c r="AT3" t="s" s="36">
        <v>145</v>
      </c>
      <c r="AU3" t="s" s="36">
        <v>146</v>
      </c>
      <c r="AV3" t="s" s="36">
        <v>147</v>
      </c>
      <c r="AW3" t="s" s="61">
        <v>568</v>
      </c>
      <c r="AX3" s="35"/>
      <c r="AY3" t="s" s="36">
        <v>12</v>
      </c>
      <c r="AZ3" s="37"/>
      <c r="BA3" s="25"/>
      <c r="BB3" t="s" s="38">
        <v>13</v>
      </c>
      <c r="BC3" s="39"/>
      <c r="BD3" s="39"/>
      <c r="BE3" s="39"/>
      <c r="BF3" s="39"/>
      <c r="BG3" s="39"/>
      <c r="BH3" s="39"/>
      <c r="BI3" s="39"/>
      <c r="BJ3" s="39"/>
      <c r="BK3" s="39"/>
      <c r="BL3" s="40"/>
      <c r="BM3" s="28"/>
      <c r="BN3" s="25"/>
      <c r="BO3" t="s" s="41">
        <v>14</v>
      </c>
      <c r="BP3" s="42"/>
      <c r="BQ3" s="42"/>
      <c r="BR3" s="42"/>
      <c r="BS3" s="42"/>
      <c r="BT3" s="42"/>
      <c r="BU3" s="42"/>
      <c r="BV3" s="42"/>
      <c r="BW3" s="42"/>
      <c r="BX3" s="42"/>
      <c r="BY3" s="43"/>
      <c r="BZ3" s="44"/>
      <c r="CA3" s="25"/>
      <c r="CB3" t="s" s="45">
        <v>15</v>
      </c>
      <c r="CC3" s="46"/>
      <c r="CD3" s="46"/>
      <c r="CE3" s="46"/>
      <c r="CF3" s="46"/>
      <c r="CG3" s="46"/>
      <c r="CH3" s="46"/>
      <c r="CI3" s="46"/>
      <c r="CJ3" s="46"/>
      <c r="CK3" s="46"/>
      <c r="CL3" s="47"/>
      <c r="CM3" s="44"/>
      <c r="CN3" s="25"/>
      <c r="CO3" t="s" s="48">
        <v>16</v>
      </c>
      <c r="CP3" s="49"/>
      <c r="CQ3" s="49"/>
      <c r="CR3" s="49"/>
      <c r="CS3" s="49"/>
      <c r="CT3" s="49"/>
      <c r="CU3" s="49"/>
      <c r="CV3" s="49"/>
      <c r="CW3" s="49"/>
      <c r="CX3" s="49"/>
      <c r="CY3" s="50"/>
      <c r="CZ3" s="44"/>
      <c r="DA3" s="25"/>
      <c r="DB3" t="s" s="51">
        <v>17</v>
      </c>
      <c r="DC3" t="s" s="51">
        <v>18</v>
      </c>
      <c r="DD3" t="s" s="51">
        <v>19</v>
      </c>
      <c r="DE3" t="s" s="51">
        <v>20</v>
      </c>
      <c r="DF3" s="18"/>
      <c r="DG3" t="s" s="52">
        <v>21</v>
      </c>
      <c r="DH3" s="18"/>
      <c r="DI3" t="s" s="53">
        <v>22</v>
      </c>
      <c r="DJ3" t="s" s="53">
        <v>23</v>
      </c>
      <c r="DK3" t="s" s="53">
        <v>24</v>
      </c>
      <c r="DL3" t="s" s="53">
        <v>25</v>
      </c>
      <c r="DM3" s="18"/>
      <c r="DN3" t="s" s="53">
        <v>26</v>
      </c>
      <c r="DO3" t="s" s="53">
        <v>27</v>
      </c>
      <c r="DP3" t="s" s="53">
        <v>28</v>
      </c>
      <c r="DQ3" t="s" s="53">
        <v>29</v>
      </c>
    </row>
    <row r="4" ht="13.5" customHeight="1">
      <c r="A4" s="31">
        <v>1</v>
      </c>
      <c r="B4" t="s" s="101">
        <v>30</v>
      </c>
      <c r="C4" t="s" s="102">
        <v>31</v>
      </c>
      <c r="D4" t="s" s="54">
        <v>32</v>
      </c>
      <c r="E4" s="56"/>
      <c r="F4" t="s" s="57">
        <v>569</v>
      </c>
      <c r="G4" s="56"/>
      <c r="H4" t="s" s="57">
        <v>642</v>
      </c>
      <c r="I4" s="58"/>
      <c r="J4" t="s" s="56">
        <v>643</v>
      </c>
      <c r="K4" s="58"/>
      <c r="L4" t="s" s="61">
        <v>644</v>
      </c>
      <c r="M4" s="58"/>
      <c r="N4" s="58"/>
      <c r="O4" t="s" s="61">
        <v>142</v>
      </c>
      <c r="P4" t="s" s="61">
        <v>140</v>
      </c>
      <c r="Q4" t="s" s="61">
        <v>278</v>
      </c>
      <c r="R4" t="s" s="61">
        <v>645</v>
      </c>
      <c r="S4" t="s" s="61">
        <v>646</v>
      </c>
      <c r="T4" t="s" s="61">
        <v>647</v>
      </c>
      <c r="U4" t="s" s="61">
        <v>265</v>
      </c>
      <c r="V4" t="s" s="61">
        <v>262</v>
      </c>
      <c r="W4" s="58"/>
      <c r="X4" s="58"/>
      <c r="Y4" s="58"/>
      <c r="Z4" s="77">
        <v>10</v>
      </c>
      <c r="AA4" s="77">
        <v>10</v>
      </c>
      <c r="AB4" s="77">
        <v>10</v>
      </c>
      <c r="AC4" s="77">
        <v>10</v>
      </c>
      <c r="AD4" s="77">
        <v>10</v>
      </c>
      <c r="AE4" s="77">
        <v>10</v>
      </c>
      <c r="AF4" s="77">
        <v>20</v>
      </c>
      <c r="AG4" s="77">
        <v>5</v>
      </c>
      <c r="AH4" s="77">
        <v>5</v>
      </c>
      <c r="AI4" s="110">
        <v>10</v>
      </c>
      <c r="AJ4" s="58"/>
      <c r="AK4" s="58"/>
      <c r="AL4" s="58"/>
      <c r="AM4" s="58"/>
      <c r="AN4" s="58"/>
      <c r="AO4" s="58"/>
      <c r="AP4" s="207"/>
      <c r="AQ4" s="58"/>
      <c r="AR4" s="58"/>
      <c r="AS4" s="58"/>
      <c r="AT4" s="58"/>
      <c r="AU4" s="58"/>
      <c r="AV4" s="58"/>
      <c r="AW4" s="58"/>
      <c r="AX4" s="58"/>
      <c r="AY4" s="58"/>
      <c r="AZ4" s="28"/>
      <c r="BA4" s="60"/>
      <c r="BB4" t="s" s="61">
        <v>33</v>
      </c>
      <c r="BC4" t="s" s="62">
        <v>34</v>
      </c>
      <c r="BD4" s="63"/>
      <c r="BE4" t="s" s="61">
        <v>35</v>
      </c>
      <c r="BF4" t="s" s="62">
        <v>36</v>
      </c>
      <c r="BG4" s="63"/>
      <c r="BH4" t="s" s="61">
        <v>37</v>
      </c>
      <c r="BI4" t="s" s="62">
        <v>38</v>
      </c>
      <c r="BJ4" s="63"/>
      <c r="BK4" t="s" s="61">
        <v>39</v>
      </c>
      <c r="BL4" t="s" s="62">
        <v>40</v>
      </c>
      <c r="BM4" s="28"/>
      <c r="BN4" s="60"/>
      <c r="BO4" t="s" s="61">
        <v>33</v>
      </c>
      <c r="BP4" t="s" s="62">
        <v>34</v>
      </c>
      <c r="BQ4" s="63"/>
      <c r="BR4" t="s" s="61">
        <v>35</v>
      </c>
      <c r="BS4" t="s" s="62">
        <v>36</v>
      </c>
      <c r="BT4" s="63"/>
      <c r="BU4" t="s" s="61">
        <v>37</v>
      </c>
      <c r="BV4" t="s" s="62">
        <v>38</v>
      </c>
      <c r="BW4" s="63"/>
      <c r="BX4" t="s" s="61">
        <v>39</v>
      </c>
      <c r="BY4" t="s" s="62">
        <v>40</v>
      </c>
      <c r="BZ4" s="28"/>
      <c r="CA4" s="60"/>
      <c r="CB4" t="s" s="61">
        <v>33</v>
      </c>
      <c r="CC4" t="s" s="62">
        <v>34</v>
      </c>
      <c r="CD4" s="63"/>
      <c r="CE4" t="s" s="61">
        <v>35</v>
      </c>
      <c r="CF4" t="s" s="62">
        <v>36</v>
      </c>
      <c r="CG4" s="63"/>
      <c r="CH4" t="s" s="61">
        <v>37</v>
      </c>
      <c r="CI4" t="s" s="62">
        <v>38</v>
      </c>
      <c r="CJ4" s="63"/>
      <c r="CK4" t="s" s="61">
        <v>39</v>
      </c>
      <c r="CL4" t="s" s="62">
        <v>40</v>
      </c>
      <c r="CM4" s="28"/>
      <c r="CN4" s="60"/>
      <c r="CO4" t="s" s="61">
        <v>33</v>
      </c>
      <c r="CP4" t="s" s="62">
        <v>34</v>
      </c>
      <c r="CQ4" s="63"/>
      <c r="CR4" t="s" s="61">
        <v>35</v>
      </c>
      <c r="CS4" t="s" s="62">
        <v>36</v>
      </c>
      <c r="CT4" s="63"/>
      <c r="CU4" t="s" s="61">
        <v>37</v>
      </c>
      <c r="CV4" t="s" s="62">
        <v>38</v>
      </c>
      <c r="CW4" s="63"/>
      <c r="CX4" t="s" s="61">
        <v>39</v>
      </c>
      <c r="CY4" t="s" s="62">
        <v>40</v>
      </c>
      <c r="CZ4" s="64"/>
      <c r="DA4" s="60"/>
      <c r="DB4" s="65"/>
      <c r="DC4" s="65"/>
      <c r="DD4" s="65"/>
      <c r="DE4" s="65"/>
      <c r="DF4" s="18"/>
      <c r="DG4" s="66"/>
      <c r="DH4" s="18"/>
      <c r="DI4" s="67"/>
      <c r="DJ4" s="67"/>
      <c r="DK4" s="67"/>
      <c r="DL4" s="67"/>
      <c r="DM4" s="18"/>
      <c r="DN4" s="67"/>
      <c r="DO4" s="67"/>
      <c r="DP4" s="67"/>
      <c r="DQ4" s="67"/>
    </row>
    <row r="5" ht="22.5" customHeight="1">
      <c r="A5" s="105"/>
      <c r="B5" s="106">
        <v>1</v>
      </c>
      <c r="C5" t="s" s="70">
        <v>648</v>
      </c>
      <c r="D5" t="s" s="71">
        <v>649</v>
      </c>
      <c r="E5" t="s" s="72">
        <v>161</v>
      </c>
      <c r="F5" t="s" s="107">
        <v>43</v>
      </c>
      <c r="G5" t="s" s="72">
        <v>191</v>
      </c>
      <c r="H5" t="s" s="107">
        <v>43</v>
      </c>
      <c r="I5" t="s" s="72">
        <v>161</v>
      </c>
      <c r="J5" t="s" s="107">
        <v>43</v>
      </c>
      <c r="K5" t="s" s="83">
        <v>43</v>
      </c>
      <c r="L5" t="s" s="83">
        <v>161</v>
      </c>
      <c r="M5" s="75"/>
      <c r="N5" s="75"/>
      <c r="O5" s="79">
        <v>8</v>
      </c>
      <c r="P5" s="75"/>
      <c r="Q5" s="75"/>
      <c r="R5" s="75"/>
      <c r="S5" s="75"/>
      <c r="T5" s="75"/>
      <c r="U5" s="75"/>
      <c r="V5" s="75"/>
      <c r="W5" s="79">
        <v>15</v>
      </c>
      <c r="X5" s="305"/>
      <c r="Y5" s="75"/>
      <c r="Z5" s="163">
        <v>7</v>
      </c>
      <c r="AA5" s="164">
        <v>10</v>
      </c>
      <c r="AB5" s="79">
        <v>9</v>
      </c>
      <c r="AC5" s="110">
        <v>9</v>
      </c>
      <c r="AD5" s="110">
        <v>0</v>
      </c>
      <c r="AE5" s="110">
        <v>10</v>
      </c>
      <c r="AF5" s="110">
        <v>20</v>
      </c>
      <c r="AG5" s="110">
        <v>5</v>
      </c>
      <c r="AH5" s="110">
        <v>5</v>
      </c>
      <c r="AI5" s="110">
        <v>20</v>
      </c>
      <c r="AJ5" s="306">
        <f>Z5+AA5+AB5+AC5+AD5+AE5+AF5+AG5+AH5+AI5</f>
        <v>95</v>
      </c>
      <c r="AK5" s="76"/>
      <c r="AL5" s="75"/>
      <c r="AM5" s="76"/>
      <c r="AN5" s="75"/>
      <c r="AO5" s="76"/>
      <c r="AP5" s="78">
        <v>1</v>
      </c>
      <c r="AQ5" s="110">
        <v>6</v>
      </c>
      <c r="AR5" s="79">
        <v>20</v>
      </c>
      <c r="AS5" s="110">
        <v>25</v>
      </c>
      <c r="AT5" s="79">
        <v>0</v>
      </c>
      <c r="AU5" s="79">
        <v>15</v>
      </c>
      <c r="AV5" s="110">
        <v>8</v>
      </c>
      <c r="AW5" s="79">
        <v>7</v>
      </c>
      <c r="AX5" s="110">
        <v>10</v>
      </c>
      <c r="AY5" s="79">
        <f>SUM(AQ5:AX5)</f>
        <v>91</v>
      </c>
      <c r="AZ5" s="18"/>
      <c r="BA5" s="78">
        <v>1</v>
      </c>
      <c r="BB5" s="110">
        <f>AY5+0</f>
        <v>91</v>
      </c>
      <c r="BC5" s="75"/>
      <c r="BD5" s="18"/>
      <c r="BE5" s="110">
        <f>AJ5</f>
        <v>95</v>
      </c>
      <c r="BF5" s="75"/>
      <c r="BG5" s="18"/>
      <c r="BH5" s="76"/>
      <c r="BI5" s="75"/>
      <c r="BJ5" s="18"/>
      <c r="BK5" s="76"/>
      <c r="BL5" s="75"/>
      <c r="BM5" s="18"/>
      <c r="BN5" s="78">
        <v>1</v>
      </c>
      <c r="BO5" s="110">
        <f>AY5-1</f>
        <v>90</v>
      </c>
      <c r="BP5" s="75"/>
      <c r="BQ5" s="18"/>
      <c r="BR5" s="110">
        <f>AJ5-1</f>
        <v>94</v>
      </c>
      <c r="BS5" s="75"/>
      <c r="BT5" s="18"/>
      <c r="BU5" s="76"/>
      <c r="BV5" s="75"/>
      <c r="BW5" s="18"/>
      <c r="BX5" s="76"/>
      <c r="BY5" s="75"/>
      <c r="BZ5" s="18"/>
      <c r="CA5" s="78">
        <v>1</v>
      </c>
      <c r="CB5" s="110">
        <f>AY5+2</f>
        <v>93</v>
      </c>
      <c r="CC5" s="75"/>
      <c r="CD5" s="18"/>
      <c r="CE5" s="110">
        <f>AJ5+2</f>
        <v>97</v>
      </c>
      <c r="CF5" s="75"/>
      <c r="CG5" s="18"/>
      <c r="CH5" s="76"/>
      <c r="CI5" s="75"/>
      <c r="CJ5" s="18"/>
      <c r="CK5" s="76"/>
      <c r="CL5" s="75"/>
      <c r="CM5" s="18"/>
      <c r="CN5" s="78">
        <v>1</v>
      </c>
      <c r="CO5" s="110">
        <f>AY5-1</f>
        <v>90</v>
      </c>
      <c r="CP5" s="75"/>
      <c r="CQ5" s="18"/>
      <c r="CR5" s="110">
        <f>AJ5+1</f>
        <v>96</v>
      </c>
      <c r="CS5" s="75"/>
      <c r="CT5" s="18"/>
      <c r="CU5" s="76"/>
      <c r="CV5" s="75"/>
      <c r="CW5" s="18"/>
      <c r="CX5" s="76"/>
      <c r="CY5" s="75"/>
      <c r="CZ5" s="18"/>
      <c r="DA5" s="78">
        <v>1</v>
      </c>
      <c r="DB5" s="79">
        <f>(BB5+BE5+BH5+BK5)/4</f>
        <v>46.5</v>
      </c>
      <c r="DC5" s="79">
        <f>(BO5+BR5+BU5+BX5)/4</f>
        <v>46</v>
      </c>
      <c r="DD5" s="79">
        <f>(CB5+CE5+CH5+CK5)/4</f>
        <v>47.5</v>
      </c>
      <c r="DE5" s="79">
        <f>(CO5+CR5+CU5+CX5)/4</f>
        <v>46.5</v>
      </c>
      <c r="DF5" s="18"/>
      <c r="DG5" s="80">
        <f>SUM(DB5:DE5)/4</f>
        <v>46.625</v>
      </c>
      <c r="DH5" s="18"/>
      <c r="DI5" s="79">
        <f>DG5*0.5</f>
        <v>23.3125</v>
      </c>
      <c r="DJ5" s="75"/>
      <c r="DK5" s="79">
        <f>DJ5*0.5</f>
        <v>0</v>
      </c>
      <c r="DL5" s="81">
        <f>DK5+DI5</f>
        <v>23.3125</v>
      </c>
      <c r="DM5" s="18"/>
      <c r="DN5" s="79">
        <f>DG5*0.3</f>
        <v>13.9875</v>
      </c>
      <c r="DO5" s="75"/>
      <c r="DP5" s="79">
        <f>DO5*0.7</f>
        <v>0</v>
      </c>
      <c r="DQ5" s="81">
        <f>DP5+DN5</f>
        <v>13.9875</v>
      </c>
    </row>
    <row r="6" ht="22.5" customHeight="1">
      <c r="A6" s="31">
        <v>1</v>
      </c>
      <c r="B6" s="106">
        <v>2</v>
      </c>
      <c r="C6" t="s" s="70">
        <v>650</v>
      </c>
      <c r="D6" t="s" s="71">
        <v>651</v>
      </c>
      <c r="E6" t="s" s="72">
        <v>43</v>
      </c>
      <c r="F6" t="s" s="113">
        <v>161</v>
      </c>
      <c r="G6" t="s" s="72">
        <v>161</v>
      </c>
      <c r="H6" t="s" s="113">
        <v>43</v>
      </c>
      <c r="I6" t="s" s="72">
        <v>161</v>
      </c>
      <c r="J6" t="s" s="113">
        <v>43</v>
      </c>
      <c r="K6" t="s" s="83">
        <v>43</v>
      </c>
      <c r="L6" s="79">
        <v>7</v>
      </c>
      <c r="M6" s="75"/>
      <c r="N6" s="75"/>
      <c r="O6" s="79">
        <v>8</v>
      </c>
      <c r="P6" s="75"/>
      <c r="Q6" s="75"/>
      <c r="R6" s="79">
        <v>5</v>
      </c>
      <c r="S6" s="79">
        <v>5</v>
      </c>
      <c r="T6" s="79">
        <v>5</v>
      </c>
      <c r="U6" s="79">
        <v>6</v>
      </c>
      <c r="V6" s="79">
        <v>7</v>
      </c>
      <c r="W6" s="79">
        <v>17</v>
      </c>
      <c r="X6" s="307">
        <f>P6+Q6+R6+S6+T6+U6+V6+W6+AB6+AC6+O6</f>
        <v>70</v>
      </c>
      <c r="Y6" s="75"/>
      <c r="Z6" s="163">
        <v>4</v>
      </c>
      <c r="AA6" s="165">
        <v>0</v>
      </c>
      <c r="AB6" s="79">
        <v>8</v>
      </c>
      <c r="AC6" s="110">
        <v>9</v>
      </c>
      <c r="AD6" s="110">
        <v>0</v>
      </c>
      <c r="AE6" s="110">
        <v>10</v>
      </c>
      <c r="AF6" s="110">
        <v>0</v>
      </c>
      <c r="AG6" s="110">
        <v>0</v>
      </c>
      <c r="AH6" s="110">
        <v>0</v>
      </c>
      <c r="AI6" s="110">
        <v>20</v>
      </c>
      <c r="AJ6" s="306">
        <f>Z6+AA6+AB6+AC6+AD6+AE6+AF6+AG6+AH6+AI6</f>
        <v>51</v>
      </c>
      <c r="AK6" s="76"/>
      <c r="AL6" s="75"/>
      <c r="AM6" s="76"/>
      <c r="AN6" s="75"/>
      <c r="AO6" s="76"/>
      <c r="AP6" s="78">
        <v>2</v>
      </c>
      <c r="AQ6" s="110">
        <v>10</v>
      </c>
      <c r="AR6" s="79">
        <v>20</v>
      </c>
      <c r="AS6" s="110">
        <v>25</v>
      </c>
      <c r="AT6" s="79">
        <v>0</v>
      </c>
      <c r="AU6" s="79">
        <v>14</v>
      </c>
      <c r="AV6" s="110">
        <v>10</v>
      </c>
      <c r="AW6" s="79">
        <v>0</v>
      </c>
      <c r="AX6" s="110">
        <v>10</v>
      </c>
      <c r="AY6" s="79">
        <f>SUM(AQ6:AX6)</f>
        <v>89</v>
      </c>
      <c r="AZ6" s="18"/>
      <c r="BA6" s="78">
        <v>2</v>
      </c>
      <c r="BB6" s="110">
        <f>AY6+0</f>
        <v>89</v>
      </c>
      <c r="BC6" s="75"/>
      <c r="BD6" s="18"/>
      <c r="BE6" s="110">
        <f>AJ6</f>
        <v>51</v>
      </c>
      <c r="BF6" s="79">
        <v>60</v>
      </c>
      <c r="BG6" s="18"/>
      <c r="BH6" s="110">
        <f>X6</f>
        <v>70</v>
      </c>
      <c r="BI6" s="75"/>
      <c r="BJ6" s="18"/>
      <c r="BK6" s="76"/>
      <c r="BL6" s="75"/>
      <c r="BM6" s="18"/>
      <c r="BN6" s="78">
        <v>2</v>
      </c>
      <c r="BO6" s="110">
        <f>AY6-1</f>
        <v>88</v>
      </c>
      <c r="BP6" s="75"/>
      <c r="BQ6" s="18"/>
      <c r="BR6" s="110">
        <f>AJ6-1</f>
        <v>50</v>
      </c>
      <c r="BS6" s="79">
        <v>60</v>
      </c>
      <c r="BT6" s="18"/>
      <c r="BU6" s="110">
        <f>X6-1</f>
        <v>69</v>
      </c>
      <c r="BV6" s="75"/>
      <c r="BW6" s="18"/>
      <c r="BX6" s="76"/>
      <c r="BY6" s="75"/>
      <c r="BZ6" s="18"/>
      <c r="CA6" s="78">
        <v>2</v>
      </c>
      <c r="CB6" s="110">
        <f>AY6+2</f>
        <v>91</v>
      </c>
      <c r="CC6" s="75"/>
      <c r="CD6" s="18"/>
      <c r="CE6" s="110">
        <f>AJ6+2</f>
        <v>53</v>
      </c>
      <c r="CF6" s="79">
        <v>60</v>
      </c>
      <c r="CG6" s="18"/>
      <c r="CH6" s="110">
        <f>X6+2</f>
        <v>72</v>
      </c>
      <c r="CI6" s="75"/>
      <c r="CJ6" s="18"/>
      <c r="CK6" s="76"/>
      <c r="CL6" s="75"/>
      <c r="CM6" s="18"/>
      <c r="CN6" s="78">
        <v>2</v>
      </c>
      <c r="CO6" s="110">
        <f>AY6-1</f>
        <v>88</v>
      </c>
      <c r="CP6" s="75"/>
      <c r="CQ6" s="18"/>
      <c r="CR6" s="110">
        <f>AJ6+1</f>
        <v>52</v>
      </c>
      <c r="CS6" s="79">
        <v>60</v>
      </c>
      <c r="CT6" s="18"/>
      <c r="CU6" s="110">
        <f>X6+1</f>
        <v>71</v>
      </c>
      <c r="CV6" s="75"/>
      <c r="CW6" s="18"/>
      <c r="CX6" s="76"/>
      <c r="CY6" s="75"/>
      <c r="CZ6" s="18"/>
      <c r="DA6" s="78">
        <v>2</v>
      </c>
      <c r="DB6" s="79">
        <f>(BB6+BE6+BH6+BK6)/4</f>
        <v>52.5</v>
      </c>
      <c r="DC6" s="79">
        <f>(BO6+BR6+BU6+BX6)/4</f>
        <v>51.75</v>
      </c>
      <c r="DD6" s="79">
        <f>(CB6+CE6+CH6+CK6)/4</f>
        <v>54</v>
      </c>
      <c r="DE6" s="79">
        <f>(CO6+CR6+CU6+CX6)/4</f>
        <v>52.75</v>
      </c>
      <c r="DF6" s="18"/>
      <c r="DG6" s="80">
        <f>SUM(DB6:DE6)/4</f>
        <v>52.75</v>
      </c>
      <c r="DH6" s="18"/>
      <c r="DI6" s="79">
        <f>DG6*0.5</f>
        <v>26.375</v>
      </c>
      <c r="DJ6" s="75"/>
      <c r="DK6" s="79">
        <f>DJ6*0.5</f>
        <v>0</v>
      </c>
      <c r="DL6" s="81">
        <f>DK6+DI6</f>
        <v>26.375</v>
      </c>
      <c r="DM6" s="18"/>
      <c r="DN6" s="79">
        <f>DG6*0.3</f>
        <v>15.825</v>
      </c>
      <c r="DO6" s="75"/>
      <c r="DP6" s="79">
        <f>DO6*0.7</f>
        <v>0</v>
      </c>
      <c r="DQ6" s="81">
        <f>DP6+DN6</f>
        <v>15.825</v>
      </c>
    </row>
    <row r="7" ht="22.5" customHeight="1">
      <c r="A7" s="105"/>
      <c r="B7" s="106">
        <v>3</v>
      </c>
      <c r="C7" t="s" s="70">
        <v>652</v>
      </c>
      <c r="D7" t="s" s="71">
        <v>653</v>
      </c>
      <c r="E7" t="s" s="72">
        <v>43</v>
      </c>
      <c r="F7" t="s" s="113">
        <v>43</v>
      </c>
      <c r="G7" t="s" s="72">
        <v>43</v>
      </c>
      <c r="H7" t="s" s="113">
        <v>43</v>
      </c>
      <c r="I7" s="74"/>
      <c r="J7" t="s" s="113">
        <v>43</v>
      </c>
      <c r="K7" t="s" s="83">
        <v>43</v>
      </c>
      <c r="L7" s="79">
        <v>6</v>
      </c>
      <c r="M7" s="75"/>
      <c r="N7" s="75"/>
      <c r="O7" s="79">
        <v>10</v>
      </c>
      <c r="P7" s="79">
        <v>10</v>
      </c>
      <c r="Q7" s="75"/>
      <c r="R7" s="79">
        <v>5</v>
      </c>
      <c r="S7" s="79">
        <v>9</v>
      </c>
      <c r="T7" s="79">
        <v>10</v>
      </c>
      <c r="U7" s="79">
        <v>8</v>
      </c>
      <c r="V7" s="79">
        <v>8</v>
      </c>
      <c r="W7" s="79">
        <v>15</v>
      </c>
      <c r="X7" s="307">
        <f>P7+Q7+R7+S7+T7+U7+V7+W7+AB7+AC7+O7</f>
        <v>93</v>
      </c>
      <c r="Y7" s="75"/>
      <c r="Z7" s="163">
        <v>8</v>
      </c>
      <c r="AA7" s="165">
        <v>0</v>
      </c>
      <c r="AB7" s="79">
        <v>9</v>
      </c>
      <c r="AC7" s="110">
        <v>9</v>
      </c>
      <c r="AD7" s="110">
        <v>0</v>
      </c>
      <c r="AE7" s="110">
        <v>5</v>
      </c>
      <c r="AF7" s="110">
        <v>15</v>
      </c>
      <c r="AG7" s="110">
        <v>0</v>
      </c>
      <c r="AH7" s="110">
        <v>0</v>
      </c>
      <c r="AI7" s="110">
        <v>20</v>
      </c>
      <c r="AJ7" s="306">
        <f>Z7+AA7+AB7+AC7+AD7+AE7+AF7+AG7+AH7+AI7</f>
        <v>66</v>
      </c>
      <c r="AK7" s="110">
        <v>70</v>
      </c>
      <c r="AL7" s="75"/>
      <c r="AM7" s="76"/>
      <c r="AN7" s="75"/>
      <c r="AO7" s="76"/>
      <c r="AP7" s="78">
        <v>3</v>
      </c>
      <c r="AQ7" s="110">
        <v>10</v>
      </c>
      <c r="AR7" s="79">
        <v>20</v>
      </c>
      <c r="AS7" s="110">
        <v>25</v>
      </c>
      <c r="AT7" s="79">
        <v>10</v>
      </c>
      <c r="AU7" s="79">
        <v>15</v>
      </c>
      <c r="AV7" s="110">
        <v>10</v>
      </c>
      <c r="AW7" s="79">
        <v>10</v>
      </c>
      <c r="AX7" s="110">
        <v>10</v>
      </c>
      <c r="AY7" s="79">
        <v>100</v>
      </c>
      <c r="AZ7" s="112">
        <v>5</v>
      </c>
      <c r="BA7" s="78">
        <v>3</v>
      </c>
      <c r="BB7" s="110">
        <f>AY7+0</f>
        <v>100</v>
      </c>
      <c r="BC7" s="75"/>
      <c r="BD7" s="18"/>
      <c r="BE7" s="110">
        <f>AJ7</f>
        <v>66</v>
      </c>
      <c r="BF7" s="75"/>
      <c r="BG7" s="18"/>
      <c r="BH7" s="110">
        <f>X7</f>
        <v>93</v>
      </c>
      <c r="BI7" s="75"/>
      <c r="BJ7" s="18"/>
      <c r="BK7" s="76"/>
      <c r="BL7" s="75"/>
      <c r="BM7" s="18"/>
      <c r="BN7" s="78">
        <v>3</v>
      </c>
      <c r="BO7" s="110">
        <v>100</v>
      </c>
      <c r="BP7" s="75"/>
      <c r="BQ7" s="18"/>
      <c r="BR7" s="110">
        <f>AJ7-1</f>
        <v>65</v>
      </c>
      <c r="BS7" s="75"/>
      <c r="BT7" s="18"/>
      <c r="BU7" s="110">
        <f>X7-1</f>
        <v>92</v>
      </c>
      <c r="BV7" s="75"/>
      <c r="BW7" s="18"/>
      <c r="BX7" s="76"/>
      <c r="BY7" s="75"/>
      <c r="BZ7" s="18"/>
      <c r="CA7" s="78">
        <v>3</v>
      </c>
      <c r="CB7" s="110">
        <v>100</v>
      </c>
      <c r="CC7" s="75"/>
      <c r="CD7" s="18"/>
      <c r="CE7" s="110">
        <f>AJ7+2</f>
        <v>68</v>
      </c>
      <c r="CF7" s="75"/>
      <c r="CG7" s="18"/>
      <c r="CH7" s="110">
        <f>X7+2</f>
        <v>95</v>
      </c>
      <c r="CI7" s="75"/>
      <c r="CJ7" s="18"/>
      <c r="CK7" s="76"/>
      <c r="CL7" s="75"/>
      <c r="CM7" s="18"/>
      <c r="CN7" s="78">
        <v>3</v>
      </c>
      <c r="CO7" s="110">
        <f>AY7-1</f>
        <v>99</v>
      </c>
      <c r="CP7" s="75"/>
      <c r="CQ7" s="18"/>
      <c r="CR7" s="110">
        <f>AJ7+1</f>
        <v>67</v>
      </c>
      <c r="CS7" s="75"/>
      <c r="CT7" s="18"/>
      <c r="CU7" s="110">
        <f>X7+1</f>
        <v>94</v>
      </c>
      <c r="CV7" s="75"/>
      <c r="CW7" s="18"/>
      <c r="CX7" s="76"/>
      <c r="CY7" s="75"/>
      <c r="CZ7" s="18"/>
      <c r="DA7" s="78">
        <v>3</v>
      </c>
      <c r="DB7" s="79">
        <f>(BB7+BE7+BH7+BK7)/4</f>
        <v>64.75</v>
      </c>
      <c r="DC7" s="79">
        <f>(BO7+BR7+BU7+BX7)/4</f>
        <v>64.25</v>
      </c>
      <c r="DD7" s="79">
        <f>(CB7+CE7+CH7+CK7)/4</f>
        <v>65.75</v>
      </c>
      <c r="DE7" s="79">
        <f>(CO7+CR7+CU7+CX7)/4</f>
        <v>65</v>
      </c>
      <c r="DF7" s="18"/>
      <c r="DG7" s="80">
        <f>SUM(DB7:DE7)/4</f>
        <v>64.9375</v>
      </c>
      <c r="DH7" s="18"/>
      <c r="DI7" s="79">
        <f>DG7*0.5</f>
        <v>32.46875</v>
      </c>
      <c r="DJ7" s="75"/>
      <c r="DK7" s="79">
        <f>DJ7*0.5</f>
        <v>0</v>
      </c>
      <c r="DL7" s="81">
        <f>DK7+DI7</f>
        <v>32.46875</v>
      </c>
      <c r="DM7" s="18"/>
      <c r="DN7" s="79">
        <f>DG7*0.3</f>
        <v>19.48125</v>
      </c>
      <c r="DO7" s="75"/>
      <c r="DP7" s="79">
        <f>DO7*0.7</f>
        <v>0</v>
      </c>
      <c r="DQ7" s="81">
        <f>DP7+DN7</f>
        <v>19.48125</v>
      </c>
    </row>
    <row r="8" ht="22.5" customHeight="1">
      <c r="A8" s="31">
        <v>1</v>
      </c>
      <c r="B8" s="106">
        <v>4</v>
      </c>
      <c r="C8" t="s" s="70">
        <v>654</v>
      </c>
      <c r="D8" t="s" s="71">
        <v>655</v>
      </c>
      <c r="E8" t="s" s="72">
        <v>43</v>
      </c>
      <c r="F8" t="s" s="113">
        <v>43</v>
      </c>
      <c r="G8" t="s" s="72">
        <v>161</v>
      </c>
      <c r="H8" t="s" s="113">
        <v>43</v>
      </c>
      <c r="I8" t="s" s="72">
        <v>161</v>
      </c>
      <c r="J8" t="s" s="113">
        <v>43</v>
      </c>
      <c r="K8" t="s" s="83">
        <v>161</v>
      </c>
      <c r="L8" t="s" s="83">
        <v>161</v>
      </c>
      <c r="M8" s="75"/>
      <c r="N8" s="75"/>
      <c r="O8" s="79">
        <v>6</v>
      </c>
      <c r="P8" s="75"/>
      <c r="Q8" s="75"/>
      <c r="R8" s="75"/>
      <c r="S8" s="79">
        <v>8</v>
      </c>
      <c r="T8" s="79">
        <v>8</v>
      </c>
      <c r="U8" s="79">
        <v>9</v>
      </c>
      <c r="V8" s="79">
        <v>7</v>
      </c>
      <c r="W8" s="79">
        <v>15</v>
      </c>
      <c r="X8" s="307">
        <f>P8+Q8+R8+S8+T8+U8+V8+W8+AB8+AC8+O8</f>
        <v>71</v>
      </c>
      <c r="Y8" s="75"/>
      <c r="Z8" s="163">
        <v>6</v>
      </c>
      <c r="AA8" s="165">
        <v>0</v>
      </c>
      <c r="AB8" s="79">
        <v>9</v>
      </c>
      <c r="AC8" s="110">
        <v>9</v>
      </c>
      <c r="AD8" s="110">
        <v>0</v>
      </c>
      <c r="AE8" s="110">
        <v>0</v>
      </c>
      <c r="AF8" s="110">
        <v>0</v>
      </c>
      <c r="AG8" s="110">
        <v>0</v>
      </c>
      <c r="AH8" s="110">
        <v>0</v>
      </c>
      <c r="AI8" s="110">
        <v>20</v>
      </c>
      <c r="AJ8" s="306">
        <f>Z8+AA8+AB8+AC8+AD8+AE8+AF8+AG8+AH8+AI8</f>
        <v>44</v>
      </c>
      <c r="AK8" s="76"/>
      <c r="AL8" s="75"/>
      <c r="AM8" s="76"/>
      <c r="AN8" s="75"/>
      <c r="AO8" s="76"/>
      <c r="AP8" s="78">
        <v>4</v>
      </c>
      <c r="AQ8" s="123">
        <v>10</v>
      </c>
      <c r="AR8" s="123">
        <v>15</v>
      </c>
      <c r="AS8" s="123">
        <v>25</v>
      </c>
      <c r="AT8" s="123">
        <v>0</v>
      </c>
      <c r="AU8" s="123">
        <v>5</v>
      </c>
      <c r="AV8" s="123">
        <v>8</v>
      </c>
      <c r="AW8" s="123">
        <v>0</v>
      </c>
      <c r="AX8" s="123">
        <v>10</v>
      </c>
      <c r="AY8" s="123">
        <f>SUM(AQ8:AX8)</f>
        <v>73</v>
      </c>
      <c r="AZ8" s="112">
        <v>73</v>
      </c>
      <c r="BA8" s="78">
        <v>4</v>
      </c>
      <c r="BB8" s="110">
        <f>AY8+0</f>
        <v>73</v>
      </c>
      <c r="BC8" s="75"/>
      <c r="BD8" s="18"/>
      <c r="BE8" s="110">
        <f>AJ8</f>
        <v>44</v>
      </c>
      <c r="BF8" s="79">
        <v>60</v>
      </c>
      <c r="BG8" s="18"/>
      <c r="BH8" s="110">
        <f>X8</f>
        <v>71</v>
      </c>
      <c r="BI8" s="75"/>
      <c r="BJ8" s="18"/>
      <c r="BK8" s="76"/>
      <c r="BL8" s="75"/>
      <c r="BM8" s="18"/>
      <c r="BN8" s="78">
        <v>4</v>
      </c>
      <c r="BO8" s="110">
        <f>AY8-1</f>
        <v>72</v>
      </c>
      <c r="BP8" s="75"/>
      <c r="BQ8" s="18"/>
      <c r="BR8" s="110">
        <f>AJ8-1</f>
        <v>43</v>
      </c>
      <c r="BS8" s="79">
        <v>60</v>
      </c>
      <c r="BT8" s="18"/>
      <c r="BU8" s="110">
        <f>X8-1</f>
        <v>70</v>
      </c>
      <c r="BV8" s="75"/>
      <c r="BW8" s="18"/>
      <c r="BX8" s="76"/>
      <c r="BY8" s="75"/>
      <c r="BZ8" s="18"/>
      <c r="CA8" s="78">
        <v>4</v>
      </c>
      <c r="CB8" s="110">
        <f>AY8+2</f>
        <v>75</v>
      </c>
      <c r="CC8" s="75"/>
      <c r="CD8" s="18"/>
      <c r="CE8" s="110">
        <f>AJ8+2</f>
        <v>46</v>
      </c>
      <c r="CF8" s="79">
        <v>60</v>
      </c>
      <c r="CG8" s="18"/>
      <c r="CH8" s="110">
        <f>X8+2</f>
        <v>73</v>
      </c>
      <c r="CI8" s="75"/>
      <c r="CJ8" s="18"/>
      <c r="CK8" s="76"/>
      <c r="CL8" s="75"/>
      <c r="CM8" s="18"/>
      <c r="CN8" s="78">
        <v>4</v>
      </c>
      <c r="CO8" s="110">
        <f>AY8-1</f>
        <v>72</v>
      </c>
      <c r="CP8" s="75"/>
      <c r="CQ8" s="18"/>
      <c r="CR8" s="110">
        <f>AJ8+1</f>
        <v>45</v>
      </c>
      <c r="CS8" s="79">
        <v>60</v>
      </c>
      <c r="CT8" s="18"/>
      <c r="CU8" s="110">
        <f>X8+1</f>
        <v>72</v>
      </c>
      <c r="CV8" s="75"/>
      <c r="CW8" s="18"/>
      <c r="CX8" s="76"/>
      <c r="CY8" s="75"/>
      <c r="CZ8" s="18"/>
      <c r="DA8" s="78">
        <v>4</v>
      </c>
      <c r="DB8" s="79">
        <f>(BB8+BE8+BH8+BK8)/4</f>
        <v>47</v>
      </c>
      <c r="DC8" s="79">
        <f>(BO8+BR8+BU8+BX8)/4</f>
        <v>46.25</v>
      </c>
      <c r="DD8" s="79">
        <f>(CB8+CE8+CH8+CK8)/4</f>
        <v>48.5</v>
      </c>
      <c r="DE8" s="79">
        <f>(CO8+CR8+CU8+CX8)/4</f>
        <v>47.25</v>
      </c>
      <c r="DF8" s="18"/>
      <c r="DG8" s="80">
        <f>SUM(DB8:DE8)/4</f>
        <v>47.25</v>
      </c>
      <c r="DH8" s="18"/>
      <c r="DI8" s="79">
        <f>DG8*0.5</f>
        <v>23.625</v>
      </c>
      <c r="DJ8" s="75"/>
      <c r="DK8" s="79">
        <f>DJ8*0.5</f>
        <v>0</v>
      </c>
      <c r="DL8" s="81">
        <f>DK8+DI8</f>
        <v>23.625</v>
      </c>
      <c r="DM8" s="18"/>
      <c r="DN8" s="79">
        <f>DG8*0.3</f>
        <v>14.175</v>
      </c>
      <c r="DO8" s="75"/>
      <c r="DP8" s="79">
        <f>DO8*0.7</f>
        <v>0</v>
      </c>
      <c r="DQ8" s="81">
        <f>DP8+DN8</f>
        <v>14.175</v>
      </c>
    </row>
    <row r="9" ht="22.5" customHeight="1">
      <c r="A9" s="31">
        <v>1</v>
      </c>
      <c r="B9" s="106">
        <v>5</v>
      </c>
      <c r="C9" t="s" s="70">
        <v>656</v>
      </c>
      <c r="D9" t="s" s="71">
        <v>657</v>
      </c>
      <c r="E9" t="s" s="72">
        <v>43</v>
      </c>
      <c r="F9" t="s" s="113">
        <v>161</v>
      </c>
      <c r="G9" t="s" s="72">
        <v>161</v>
      </c>
      <c r="H9" t="s" s="113">
        <v>161</v>
      </c>
      <c r="I9" s="75"/>
      <c r="J9" t="s" s="308">
        <v>43</v>
      </c>
      <c r="K9" t="s" s="309">
        <v>43</v>
      </c>
      <c r="L9" t="s" s="83">
        <v>161</v>
      </c>
      <c r="M9" s="75"/>
      <c r="N9" s="75"/>
      <c r="O9" s="79">
        <v>10</v>
      </c>
      <c r="P9" s="79">
        <v>10</v>
      </c>
      <c r="Q9" s="75"/>
      <c r="R9" s="79">
        <v>0</v>
      </c>
      <c r="S9" s="79">
        <v>7</v>
      </c>
      <c r="T9" s="79">
        <v>8</v>
      </c>
      <c r="U9" s="79">
        <v>7</v>
      </c>
      <c r="V9" s="79">
        <v>9</v>
      </c>
      <c r="W9" s="79">
        <v>15</v>
      </c>
      <c r="X9" s="307">
        <f>P9+Q9+R9+S9+T9+U9+V9+W9+AB9+AC9+O9</f>
        <v>84</v>
      </c>
      <c r="Y9" s="75"/>
      <c r="Z9" s="163">
        <v>4</v>
      </c>
      <c r="AA9" s="165">
        <v>0</v>
      </c>
      <c r="AB9" s="79">
        <v>9</v>
      </c>
      <c r="AC9" s="110">
        <v>9</v>
      </c>
      <c r="AD9" s="110">
        <v>0</v>
      </c>
      <c r="AE9" s="110">
        <v>9</v>
      </c>
      <c r="AF9" s="110">
        <v>4</v>
      </c>
      <c r="AG9" s="110">
        <v>0</v>
      </c>
      <c r="AH9" s="110">
        <v>0</v>
      </c>
      <c r="AI9" s="110">
        <v>20</v>
      </c>
      <c r="AJ9" s="306">
        <f>Z9+AA9+AB9+AC9+AD9+AE9+AF9+AG9+AH9+AI9</f>
        <v>55</v>
      </c>
      <c r="AK9" s="76"/>
      <c r="AL9" s="75"/>
      <c r="AM9" s="76"/>
      <c r="AN9" s="75"/>
      <c r="AO9" s="76"/>
      <c r="AP9" s="78">
        <v>5</v>
      </c>
      <c r="AQ9" s="110">
        <v>10</v>
      </c>
      <c r="AR9" s="79">
        <v>20</v>
      </c>
      <c r="AS9" s="110">
        <v>25</v>
      </c>
      <c r="AT9" s="79">
        <v>0</v>
      </c>
      <c r="AU9" s="79">
        <v>15</v>
      </c>
      <c r="AV9" s="110">
        <v>9</v>
      </c>
      <c r="AW9" s="79">
        <v>10</v>
      </c>
      <c r="AX9" s="110">
        <v>10</v>
      </c>
      <c r="AY9" s="79">
        <f>SUM(AQ9:AX9)</f>
        <v>99</v>
      </c>
      <c r="AZ9" s="18"/>
      <c r="BA9" s="78">
        <v>5</v>
      </c>
      <c r="BB9" s="110">
        <f>AY9+0</f>
        <v>99</v>
      </c>
      <c r="BC9" s="75"/>
      <c r="BD9" s="18"/>
      <c r="BE9" s="110">
        <f>AJ9</f>
        <v>55</v>
      </c>
      <c r="BF9" s="79">
        <v>80</v>
      </c>
      <c r="BG9" s="18"/>
      <c r="BH9" s="110">
        <f>X9</f>
        <v>84</v>
      </c>
      <c r="BI9" s="75"/>
      <c r="BJ9" s="18"/>
      <c r="BK9" s="76"/>
      <c r="BL9" s="75"/>
      <c r="BM9" s="18"/>
      <c r="BN9" s="78">
        <v>5</v>
      </c>
      <c r="BO9" s="110">
        <f>AY9-1</f>
        <v>98</v>
      </c>
      <c r="BP9" s="75"/>
      <c r="BQ9" s="18"/>
      <c r="BR9" s="110">
        <f>AJ9-1</f>
        <v>54</v>
      </c>
      <c r="BS9" s="79">
        <v>80</v>
      </c>
      <c r="BT9" s="18"/>
      <c r="BU9" s="110">
        <f>X9-1</f>
        <v>83</v>
      </c>
      <c r="BV9" s="75"/>
      <c r="BW9" s="18"/>
      <c r="BX9" s="76"/>
      <c r="BY9" s="75"/>
      <c r="BZ9" s="18"/>
      <c r="CA9" s="78">
        <v>5</v>
      </c>
      <c r="CB9" s="110">
        <v>100</v>
      </c>
      <c r="CC9" s="75"/>
      <c r="CD9" s="18"/>
      <c r="CE9" s="110">
        <f>AJ9+2</f>
        <v>57</v>
      </c>
      <c r="CF9" s="79">
        <v>80</v>
      </c>
      <c r="CG9" s="18"/>
      <c r="CH9" s="110">
        <f>X9+2</f>
        <v>86</v>
      </c>
      <c r="CI9" s="75"/>
      <c r="CJ9" s="18"/>
      <c r="CK9" s="76"/>
      <c r="CL9" s="75"/>
      <c r="CM9" s="18"/>
      <c r="CN9" s="78">
        <v>5</v>
      </c>
      <c r="CO9" s="110">
        <f>AY9-1</f>
        <v>98</v>
      </c>
      <c r="CP9" s="75"/>
      <c r="CQ9" s="18"/>
      <c r="CR9" s="110">
        <f>AJ9+1</f>
        <v>56</v>
      </c>
      <c r="CS9" s="79">
        <v>80</v>
      </c>
      <c r="CT9" s="18"/>
      <c r="CU9" s="110">
        <f>X9+1</f>
        <v>85</v>
      </c>
      <c r="CV9" s="75"/>
      <c r="CW9" s="18"/>
      <c r="CX9" s="76"/>
      <c r="CY9" s="75"/>
      <c r="CZ9" s="18"/>
      <c r="DA9" s="78">
        <v>5</v>
      </c>
      <c r="DB9" s="79">
        <f>(BB9+BE9+BH9+BK9)/4</f>
        <v>59.5</v>
      </c>
      <c r="DC9" s="79">
        <f>(BO9+BR9+BU9+BX9)/4</f>
        <v>58.75</v>
      </c>
      <c r="DD9" s="79">
        <f>(CB9+CE9+CH9+CK9)/4</f>
        <v>60.75</v>
      </c>
      <c r="DE9" s="79">
        <f>(CO9+CR9+CU9+CX9)/4</f>
        <v>59.75</v>
      </c>
      <c r="DF9" s="18"/>
      <c r="DG9" s="80">
        <f>SUM(DB9:DE9)/4</f>
        <v>59.6875</v>
      </c>
      <c r="DH9" s="18"/>
      <c r="DI9" s="79">
        <f>DG9*0.5</f>
        <v>29.84375</v>
      </c>
      <c r="DJ9" s="75"/>
      <c r="DK9" s="79">
        <f>DJ9*0.5</f>
        <v>0</v>
      </c>
      <c r="DL9" s="81">
        <f>DK9+DI9</f>
        <v>29.84375</v>
      </c>
      <c r="DM9" s="18"/>
      <c r="DN9" s="79">
        <f>DG9*0.3</f>
        <v>17.90625</v>
      </c>
      <c r="DO9" s="75"/>
      <c r="DP9" s="79">
        <f>DO9*0.7</f>
        <v>0</v>
      </c>
      <c r="DQ9" s="81">
        <f>DP9+DN9</f>
        <v>17.90625</v>
      </c>
    </row>
    <row r="10" ht="22.5" customHeight="1">
      <c r="A10" s="31">
        <v>1</v>
      </c>
      <c r="B10" s="106">
        <v>6</v>
      </c>
      <c r="C10" t="s" s="70">
        <v>60</v>
      </c>
      <c r="D10" t="s" s="71">
        <v>658</v>
      </c>
      <c r="E10" t="s" s="72">
        <v>43</v>
      </c>
      <c r="F10" t="s" s="113">
        <v>43</v>
      </c>
      <c r="G10" t="s" s="72">
        <v>43</v>
      </c>
      <c r="H10" t="s" s="113">
        <v>43</v>
      </c>
      <c r="I10" s="75"/>
      <c r="J10" t="s" s="72">
        <v>43</v>
      </c>
      <c r="K10" t="s" s="309">
        <v>43</v>
      </c>
      <c r="L10" s="79">
        <v>8</v>
      </c>
      <c r="M10" s="75"/>
      <c r="N10" s="75"/>
      <c r="O10" s="79">
        <v>10</v>
      </c>
      <c r="P10" s="79">
        <v>18</v>
      </c>
      <c r="Q10" s="79">
        <v>9</v>
      </c>
      <c r="R10" s="75"/>
      <c r="S10" s="79">
        <v>10</v>
      </c>
      <c r="T10" s="79">
        <v>10</v>
      </c>
      <c r="U10" s="79">
        <v>10</v>
      </c>
      <c r="V10" s="79">
        <v>8</v>
      </c>
      <c r="W10" s="79">
        <v>15</v>
      </c>
      <c r="X10" s="307">
        <f>P10+Q10+R10+S10+T10+U10+V10+W10+AB10+AC10+O10</f>
        <v>110</v>
      </c>
      <c r="Y10" s="75"/>
      <c r="Z10" s="163">
        <v>10</v>
      </c>
      <c r="AA10" s="165">
        <v>0</v>
      </c>
      <c r="AB10" s="79">
        <v>10</v>
      </c>
      <c r="AC10" s="110">
        <v>10</v>
      </c>
      <c r="AD10" s="110">
        <v>0</v>
      </c>
      <c r="AE10" s="110">
        <v>8</v>
      </c>
      <c r="AF10" s="110">
        <v>10</v>
      </c>
      <c r="AG10" s="110">
        <v>5</v>
      </c>
      <c r="AH10" s="110">
        <v>0</v>
      </c>
      <c r="AI10" s="110">
        <v>20</v>
      </c>
      <c r="AJ10" s="306">
        <f>Z10+AA10+AB10+AC10+AD10+AE10+AF10+AG10+AH10+AI10</f>
        <v>73</v>
      </c>
      <c r="AK10" s="76"/>
      <c r="AL10" s="75"/>
      <c r="AM10" s="76"/>
      <c r="AN10" s="75"/>
      <c r="AO10" s="76"/>
      <c r="AP10" s="78">
        <v>6</v>
      </c>
      <c r="AQ10" s="110">
        <v>8</v>
      </c>
      <c r="AR10" s="79">
        <v>20</v>
      </c>
      <c r="AS10" s="110">
        <v>25</v>
      </c>
      <c r="AT10" s="79">
        <v>10</v>
      </c>
      <c r="AU10" s="79">
        <v>14</v>
      </c>
      <c r="AV10" s="110">
        <v>10</v>
      </c>
      <c r="AW10" s="79">
        <v>6</v>
      </c>
      <c r="AX10" s="110">
        <v>10</v>
      </c>
      <c r="AY10" s="79">
        <v>100</v>
      </c>
      <c r="AZ10" s="112">
        <v>2</v>
      </c>
      <c r="BA10" s="78">
        <v>6</v>
      </c>
      <c r="BB10" s="110">
        <f>AY10+0</f>
        <v>100</v>
      </c>
      <c r="BC10" s="75"/>
      <c r="BD10" s="18"/>
      <c r="BE10" s="110">
        <f>AJ10</f>
        <v>73</v>
      </c>
      <c r="BF10" s="75"/>
      <c r="BG10" s="18"/>
      <c r="BH10" s="110">
        <v>100</v>
      </c>
      <c r="BI10" s="75"/>
      <c r="BJ10" s="18"/>
      <c r="BK10" s="76"/>
      <c r="BL10" s="75"/>
      <c r="BM10" s="18"/>
      <c r="BN10" s="78">
        <v>6</v>
      </c>
      <c r="BO10" s="110">
        <f>AY10-1</f>
        <v>99</v>
      </c>
      <c r="BP10" s="75"/>
      <c r="BQ10" s="18"/>
      <c r="BR10" s="110">
        <f>AJ10-1</f>
        <v>72</v>
      </c>
      <c r="BS10" s="75"/>
      <c r="BT10" s="18"/>
      <c r="BU10" s="110">
        <v>100</v>
      </c>
      <c r="BV10" s="75"/>
      <c r="BW10" s="18"/>
      <c r="BX10" s="76"/>
      <c r="BY10" s="75"/>
      <c r="BZ10" s="18"/>
      <c r="CA10" s="78">
        <v>6</v>
      </c>
      <c r="CB10" s="110">
        <v>100</v>
      </c>
      <c r="CC10" s="75"/>
      <c r="CD10" s="18"/>
      <c r="CE10" s="110">
        <f>AJ10+2</f>
        <v>75</v>
      </c>
      <c r="CF10" s="75"/>
      <c r="CG10" s="18"/>
      <c r="CH10" s="110">
        <v>100</v>
      </c>
      <c r="CI10" s="75"/>
      <c r="CJ10" s="18"/>
      <c r="CK10" s="76"/>
      <c r="CL10" s="75"/>
      <c r="CM10" s="18"/>
      <c r="CN10" s="78">
        <v>6</v>
      </c>
      <c r="CO10" s="110">
        <f>AY10-1</f>
        <v>99</v>
      </c>
      <c r="CP10" s="75"/>
      <c r="CQ10" s="18"/>
      <c r="CR10" s="110">
        <f>AJ10+1</f>
        <v>74</v>
      </c>
      <c r="CS10" s="75"/>
      <c r="CT10" s="18"/>
      <c r="CU10" s="110">
        <v>100</v>
      </c>
      <c r="CV10" s="75"/>
      <c r="CW10" s="18"/>
      <c r="CX10" s="76"/>
      <c r="CY10" s="75"/>
      <c r="CZ10" s="18"/>
      <c r="DA10" s="78">
        <v>6</v>
      </c>
      <c r="DB10" s="79">
        <f>(BB10+BE10+BH10+BK10)/4</f>
        <v>68.25</v>
      </c>
      <c r="DC10" s="79">
        <f>(BO10+BR10+BU10+BX10)/4</f>
        <v>67.75</v>
      </c>
      <c r="DD10" s="79">
        <f>(CB10+CE10+CH10+CK10)/4</f>
        <v>68.75</v>
      </c>
      <c r="DE10" s="79">
        <f>(CO10+CR10+CU10+CX10)/4</f>
        <v>68.25</v>
      </c>
      <c r="DF10" s="18"/>
      <c r="DG10" s="80">
        <f>SUM(DB10:DE10)/4</f>
        <v>68.25</v>
      </c>
      <c r="DH10" s="18"/>
      <c r="DI10" s="79">
        <f>DG10*0.5</f>
        <v>34.125</v>
      </c>
      <c r="DJ10" s="75"/>
      <c r="DK10" s="79">
        <f>DJ10*0.5</f>
        <v>0</v>
      </c>
      <c r="DL10" s="81">
        <f>DK10+DI10</f>
        <v>34.125</v>
      </c>
      <c r="DM10" s="18"/>
      <c r="DN10" s="79">
        <f>DG10*0.3</f>
        <v>20.475</v>
      </c>
      <c r="DO10" s="75"/>
      <c r="DP10" s="79">
        <f>DO10*0.7</f>
        <v>0</v>
      </c>
      <c r="DQ10" s="81">
        <f>DP10+DN10</f>
        <v>20.475</v>
      </c>
    </row>
    <row r="11" ht="22.5" customHeight="1">
      <c r="A11" s="31">
        <v>1</v>
      </c>
      <c r="B11" s="106">
        <v>7</v>
      </c>
      <c r="C11" t="s" s="70">
        <v>659</v>
      </c>
      <c r="D11" t="s" s="71">
        <v>660</v>
      </c>
      <c r="E11" t="s" s="72">
        <v>43</v>
      </c>
      <c r="F11" t="s" s="113">
        <v>43</v>
      </c>
      <c r="G11" t="s" s="72">
        <v>43</v>
      </c>
      <c r="H11" t="s" s="113">
        <v>43</v>
      </c>
      <c r="I11" s="75"/>
      <c r="J11" t="s" s="72">
        <v>43</v>
      </c>
      <c r="K11" t="s" s="309">
        <v>43</v>
      </c>
      <c r="L11" s="79">
        <v>10</v>
      </c>
      <c r="M11" s="75"/>
      <c r="N11" s="75"/>
      <c r="O11" s="79">
        <v>10</v>
      </c>
      <c r="P11" s="79">
        <v>18</v>
      </c>
      <c r="Q11" s="79">
        <v>6</v>
      </c>
      <c r="R11" s="79">
        <v>5</v>
      </c>
      <c r="S11" s="79">
        <v>8</v>
      </c>
      <c r="T11" s="79">
        <v>9</v>
      </c>
      <c r="U11" s="79">
        <v>8</v>
      </c>
      <c r="V11" s="79">
        <v>8</v>
      </c>
      <c r="W11" s="79">
        <v>15</v>
      </c>
      <c r="X11" s="307">
        <f>P11+Q11+R11+S11+T11+U11+V11+W11+AB11+AC11+O11</f>
        <v>107</v>
      </c>
      <c r="Y11" s="75"/>
      <c r="Z11" s="163">
        <v>10</v>
      </c>
      <c r="AA11" s="165">
        <v>10</v>
      </c>
      <c r="AB11" s="79">
        <v>10</v>
      </c>
      <c r="AC11" s="110">
        <v>10</v>
      </c>
      <c r="AD11" s="110">
        <v>1</v>
      </c>
      <c r="AE11" s="110">
        <v>8</v>
      </c>
      <c r="AF11" s="110">
        <v>13</v>
      </c>
      <c r="AG11" s="110">
        <v>5</v>
      </c>
      <c r="AH11" s="110">
        <v>5</v>
      </c>
      <c r="AI11" s="110">
        <v>20</v>
      </c>
      <c r="AJ11" s="306">
        <f>Z11+AA11+AB11+AC11+AD11+AE11+AF11+AG11+AH11+AI11</f>
        <v>92</v>
      </c>
      <c r="AK11" s="76"/>
      <c r="AL11" s="75"/>
      <c r="AM11" s="76"/>
      <c r="AN11" s="75"/>
      <c r="AO11" s="76"/>
      <c r="AP11" s="78">
        <v>7</v>
      </c>
      <c r="AQ11" s="110">
        <v>10</v>
      </c>
      <c r="AR11" s="79">
        <v>20</v>
      </c>
      <c r="AS11" s="110">
        <v>25</v>
      </c>
      <c r="AT11" s="79">
        <v>10</v>
      </c>
      <c r="AU11" s="79">
        <v>15</v>
      </c>
      <c r="AV11" s="110">
        <v>10</v>
      </c>
      <c r="AW11" s="79">
        <v>10</v>
      </c>
      <c r="AX11" s="110">
        <v>10</v>
      </c>
      <c r="AY11" s="79">
        <v>100</v>
      </c>
      <c r="AZ11" s="112">
        <v>5</v>
      </c>
      <c r="BA11" s="78">
        <v>7</v>
      </c>
      <c r="BB11" s="110">
        <f>AY11+0</f>
        <v>100</v>
      </c>
      <c r="BC11" s="75"/>
      <c r="BD11" s="18"/>
      <c r="BE11" s="110">
        <f>AJ11</f>
        <v>92</v>
      </c>
      <c r="BF11" s="75"/>
      <c r="BG11" s="18"/>
      <c r="BH11" s="110">
        <v>100</v>
      </c>
      <c r="BI11" s="75"/>
      <c r="BJ11" s="18"/>
      <c r="BK11" s="76"/>
      <c r="BL11" s="75"/>
      <c r="BM11" s="18"/>
      <c r="BN11" s="78">
        <v>7</v>
      </c>
      <c r="BO11" s="110">
        <f>AY11-1</f>
        <v>99</v>
      </c>
      <c r="BP11" s="75"/>
      <c r="BQ11" s="18"/>
      <c r="BR11" s="110">
        <f>AJ11-1</f>
        <v>91</v>
      </c>
      <c r="BS11" s="75"/>
      <c r="BT11" s="18"/>
      <c r="BU11" s="110">
        <v>100</v>
      </c>
      <c r="BV11" s="75"/>
      <c r="BW11" s="18"/>
      <c r="BX11" s="76"/>
      <c r="BY11" s="75"/>
      <c r="BZ11" s="18"/>
      <c r="CA11" s="78">
        <v>7</v>
      </c>
      <c r="CB11" s="110">
        <v>100</v>
      </c>
      <c r="CC11" s="75"/>
      <c r="CD11" s="18"/>
      <c r="CE11" s="110">
        <f>AJ11+2</f>
        <v>94</v>
      </c>
      <c r="CF11" s="75"/>
      <c r="CG11" s="18"/>
      <c r="CH11" s="110">
        <v>100</v>
      </c>
      <c r="CI11" s="75"/>
      <c r="CJ11" s="18"/>
      <c r="CK11" s="76"/>
      <c r="CL11" s="75"/>
      <c r="CM11" s="18"/>
      <c r="CN11" s="78">
        <v>7</v>
      </c>
      <c r="CO11" s="110">
        <f>AY11-1</f>
        <v>99</v>
      </c>
      <c r="CP11" s="75"/>
      <c r="CQ11" s="18"/>
      <c r="CR11" s="110">
        <f>AJ11+1</f>
        <v>93</v>
      </c>
      <c r="CS11" s="75"/>
      <c r="CT11" s="18"/>
      <c r="CU11" s="110">
        <v>100</v>
      </c>
      <c r="CV11" s="75"/>
      <c r="CW11" s="18"/>
      <c r="CX11" s="76"/>
      <c r="CY11" s="75"/>
      <c r="CZ11" s="18"/>
      <c r="DA11" s="78">
        <v>7</v>
      </c>
      <c r="DB11" s="79">
        <f>(BB11+BE11+BH11+BK11)/4</f>
        <v>73</v>
      </c>
      <c r="DC11" s="79">
        <f>(BO11+BR11+BU11+BX11)/4</f>
        <v>72.5</v>
      </c>
      <c r="DD11" s="79">
        <f>(CB11+CE11+CH11+CK11)/4</f>
        <v>73.5</v>
      </c>
      <c r="DE11" s="79">
        <f>(CO11+CR11+CU11+CX11)/4</f>
        <v>73</v>
      </c>
      <c r="DF11" s="18"/>
      <c r="DG11" s="80">
        <f>SUM(DB11:DE11)/4</f>
        <v>73</v>
      </c>
      <c r="DH11" s="18"/>
      <c r="DI11" s="79">
        <f>DG11*0.5</f>
        <v>36.5</v>
      </c>
      <c r="DJ11" s="75"/>
      <c r="DK11" s="79">
        <f>DJ11*0.5</f>
        <v>0</v>
      </c>
      <c r="DL11" s="81">
        <f>DK11+DI11</f>
        <v>36.5</v>
      </c>
      <c r="DM11" s="18"/>
      <c r="DN11" s="79">
        <f>DG11*0.3</f>
        <v>21.9</v>
      </c>
      <c r="DO11" s="75"/>
      <c r="DP11" s="79">
        <f>DO11*0.7</f>
        <v>0</v>
      </c>
      <c r="DQ11" s="81">
        <f>DP11+DN11</f>
        <v>21.9</v>
      </c>
    </row>
    <row r="12" ht="22.5" customHeight="1">
      <c r="A12" s="31">
        <v>1</v>
      </c>
      <c r="B12" s="106">
        <v>8</v>
      </c>
      <c r="C12" t="s" s="70">
        <v>661</v>
      </c>
      <c r="D12" t="s" s="71">
        <v>662</v>
      </c>
      <c r="E12" t="s" s="72">
        <v>43</v>
      </c>
      <c r="F12" t="s" s="113">
        <v>43</v>
      </c>
      <c r="G12" t="s" s="72">
        <v>161</v>
      </c>
      <c r="H12" t="s" s="113">
        <v>43</v>
      </c>
      <c r="I12" s="75"/>
      <c r="J12" t="s" s="72">
        <v>43</v>
      </c>
      <c r="K12" t="s" s="309">
        <v>43</v>
      </c>
      <c r="L12" t="s" s="83">
        <v>161</v>
      </c>
      <c r="M12" s="75"/>
      <c r="N12" s="75"/>
      <c r="O12" s="79">
        <v>10</v>
      </c>
      <c r="P12" s="79">
        <v>20</v>
      </c>
      <c r="Q12" s="79">
        <v>10</v>
      </c>
      <c r="R12" s="75"/>
      <c r="S12" s="79">
        <v>10</v>
      </c>
      <c r="T12" s="79">
        <v>7</v>
      </c>
      <c r="U12" s="79">
        <v>8</v>
      </c>
      <c r="V12" s="79">
        <v>7</v>
      </c>
      <c r="W12" s="79">
        <v>15</v>
      </c>
      <c r="X12" s="307">
        <f>P12+Q12+R12+S12+T12+U12+V12+W12+AB12+AC12+O12</f>
        <v>105</v>
      </c>
      <c r="Y12" s="75"/>
      <c r="Z12" s="163">
        <v>6</v>
      </c>
      <c r="AA12" s="165">
        <v>0</v>
      </c>
      <c r="AB12" s="79">
        <v>9</v>
      </c>
      <c r="AC12" s="110">
        <v>9</v>
      </c>
      <c r="AD12" s="110">
        <v>0</v>
      </c>
      <c r="AE12" s="110">
        <v>10</v>
      </c>
      <c r="AF12" s="110">
        <v>17</v>
      </c>
      <c r="AG12" s="110">
        <v>5</v>
      </c>
      <c r="AH12" s="110">
        <v>5</v>
      </c>
      <c r="AI12" s="110">
        <v>20</v>
      </c>
      <c r="AJ12" s="306">
        <f>Z12+AA12+AB12+AC12+AD12+AE12+AF12+AG12+AH12+AI12</f>
        <v>81</v>
      </c>
      <c r="AK12" s="76"/>
      <c r="AL12" s="75"/>
      <c r="AM12" s="76"/>
      <c r="AN12" s="75"/>
      <c r="AO12" s="76"/>
      <c r="AP12" s="78">
        <v>8</v>
      </c>
      <c r="AQ12" s="110">
        <v>10</v>
      </c>
      <c r="AR12" s="79">
        <v>20</v>
      </c>
      <c r="AS12" s="110">
        <v>25</v>
      </c>
      <c r="AT12" s="79">
        <v>0</v>
      </c>
      <c r="AU12" s="79">
        <v>15</v>
      </c>
      <c r="AV12" s="110">
        <v>10</v>
      </c>
      <c r="AW12" s="79">
        <v>7</v>
      </c>
      <c r="AX12" s="110">
        <v>10</v>
      </c>
      <c r="AY12" s="79">
        <f>SUM(AQ12:AX12)</f>
        <v>97</v>
      </c>
      <c r="AZ12" s="18"/>
      <c r="BA12" s="78">
        <v>8</v>
      </c>
      <c r="BB12" s="110">
        <f>AY12+0</f>
        <v>97</v>
      </c>
      <c r="BC12" s="75"/>
      <c r="BD12" s="18"/>
      <c r="BE12" s="110">
        <f>AJ12</f>
        <v>81</v>
      </c>
      <c r="BF12" s="75"/>
      <c r="BG12" s="18"/>
      <c r="BH12" s="110">
        <v>100</v>
      </c>
      <c r="BI12" s="75"/>
      <c r="BJ12" s="18"/>
      <c r="BK12" s="76"/>
      <c r="BL12" s="75"/>
      <c r="BM12" s="18"/>
      <c r="BN12" s="78">
        <v>8</v>
      </c>
      <c r="BO12" s="110">
        <f>AY12-1</f>
        <v>96</v>
      </c>
      <c r="BP12" s="75"/>
      <c r="BQ12" s="18"/>
      <c r="BR12" s="110">
        <f>AJ12-1</f>
        <v>80</v>
      </c>
      <c r="BS12" s="75"/>
      <c r="BT12" s="18"/>
      <c r="BU12" s="110">
        <v>100</v>
      </c>
      <c r="BV12" s="75"/>
      <c r="BW12" s="18"/>
      <c r="BX12" s="76"/>
      <c r="BY12" s="75"/>
      <c r="BZ12" s="18"/>
      <c r="CA12" s="78">
        <v>8</v>
      </c>
      <c r="CB12" s="110">
        <f>AY12+2</f>
        <v>99</v>
      </c>
      <c r="CC12" s="75"/>
      <c r="CD12" s="18"/>
      <c r="CE12" s="110">
        <f>AJ12+2</f>
        <v>83</v>
      </c>
      <c r="CF12" s="75"/>
      <c r="CG12" s="18"/>
      <c r="CH12" s="110">
        <v>100</v>
      </c>
      <c r="CI12" s="75"/>
      <c r="CJ12" s="18"/>
      <c r="CK12" s="76"/>
      <c r="CL12" s="75"/>
      <c r="CM12" s="18"/>
      <c r="CN12" s="78">
        <v>8</v>
      </c>
      <c r="CO12" s="110">
        <f>AY12-1</f>
        <v>96</v>
      </c>
      <c r="CP12" s="75"/>
      <c r="CQ12" s="18"/>
      <c r="CR12" s="110">
        <f>AJ12+1</f>
        <v>82</v>
      </c>
      <c r="CS12" s="75"/>
      <c r="CT12" s="18"/>
      <c r="CU12" s="110">
        <v>100</v>
      </c>
      <c r="CV12" s="75"/>
      <c r="CW12" s="18"/>
      <c r="CX12" s="76"/>
      <c r="CY12" s="75"/>
      <c r="CZ12" s="18"/>
      <c r="DA12" s="78">
        <v>8</v>
      </c>
      <c r="DB12" s="79">
        <f>(BB12+BE12+BH12+BK12)/4</f>
        <v>69.5</v>
      </c>
      <c r="DC12" s="79">
        <f>(BO12+BR12+BU12+BX12)/4</f>
        <v>69</v>
      </c>
      <c r="DD12" s="79">
        <f>(CB12+CE12+CH12+CK12)/4</f>
        <v>70.5</v>
      </c>
      <c r="DE12" s="79">
        <f>(CO12+CR12+CU12+CX12)/4</f>
        <v>69.5</v>
      </c>
      <c r="DF12" s="18"/>
      <c r="DG12" s="80">
        <f>SUM(DB12:DE12)/4</f>
        <v>69.625</v>
      </c>
      <c r="DH12" s="18"/>
      <c r="DI12" s="79">
        <f>DG12*0.5</f>
        <v>34.8125</v>
      </c>
      <c r="DJ12" s="75"/>
      <c r="DK12" s="79">
        <f>DJ12*0.5</f>
        <v>0</v>
      </c>
      <c r="DL12" s="81">
        <f>DK12+DI12</f>
        <v>34.8125</v>
      </c>
      <c r="DM12" s="18"/>
      <c r="DN12" s="79">
        <f>DG12*0.3</f>
        <v>20.8875</v>
      </c>
      <c r="DO12" s="75"/>
      <c r="DP12" s="79">
        <f>DO12*0.7</f>
        <v>0</v>
      </c>
      <c r="DQ12" s="81">
        <f>DP12+DN12</f>
        <v>20.8875</v>
      </c>
    </row>
    <row r="13" ht="22.5" customHeight="1">
      <c r="A13" s="31">
        <v>1</v>
      </c>
      <c r="B13" s="106">
        <v>9</v>
      </c>
      <c r="C13" t="s" s="116">
        <v>663</v>
      </c>
      <c r="D13" t="s" s="117">
        <v>664</v>
      </c>
      <c r="E13" t="s" s="72">
        <v>43</v>
      </c>
      <c r="F13" t="s" s="113">
        <v>43</v>
      </c>
      <c r="G13" t="s" s="72">
        <v>161</v>
      </c>
      <c r="H13" t="s" s="113">
        <v>43</v>
      </c>
      <c r="I13" s="75"/>
      <c r="J13" t="s" s="72">
        <v>43</v>
      </c>
      <c r="K13" t="s" s="309">
        <v>43</v>
      </c>
      <c r="L13" t="s" s="83">
        <v>161</v>
      </c>
      <c r="M13" s="75"/>
      <c r="N13" s="75"/>
      <c r="O13" s="79">
        <v>10</v>
      </c>
      <c r="P13" s="79">
        <v>15</v>
      </c>
      <c r="Q13" s="79">
        <v>10</v>
      </c>
      <c r="R13" s="75"/>
      <c r="S13" s="79">
        <v>8</v>
      </c>
      <c r="T13" s="79">
        <v>9</v>
      </c>
      <c r="U13" s="79">
        <v>9</v>
      </c>
      <c r="V13" s="79">
        <v>9</v>
      </c>
      <c r="W13" s="79">
        <v>15</v>
      </c>
      <c r="X13" s="307">
        <f>P13+Q13+R13+S13+T13+U13+V13+W13+AB13+AC13+O13</f>
        <v>103</v>
      </c>
      <c r="Y13" s="75"/>
      <c r="Z13" s="163">
        <v>8</v>
      </c>
      <c r="AA13" s="165">
        <v>0</v>
      </c>
      <c r="AB13" s="79">
        <v>9</v>
      </c>
      <c r="AC13" s="110">
        <v>9</v>
      </c>
      <c r="AD13" s="110">
        <v>0</v>
      </c>
      <c r="AE13" s="110">
        <v>15</v>
      </c>
      <c r="AF13" s="110">
        <v>14</v>
      </c>
      <c r="AG13" s="110">
        <v>0</v>
      </c>
      <c r="AH13" s="110">
        <v>0</v>
      </c>
      <c r="AI13" s="110">
        <v>20</v>
      </c>
      <c r="AJ13" s="128">
        <f>Z13+AA13+AB13+AC13+AD13+AE13+AF13+AG13+AH13+AI13</f>
        <v>75</v>
      </c>
      <c r="AK13" t="s" s="130">
        <v>506</v>
      </c>
      <c r="AL13" s="75"/>
      <c r="AM13" s="76"/>
      <c r="AN13" s="75"/>
      <c r="AO13" s="76"/>
      <c r="AP13" s="78">
        <v>9</v>
      </c>
      <c r="AQ13" s="123">
        <v>10</v>
      </c>
      <c r="AR13" s="123">
        <v>0</v>
      </c>
      <c r="AS13" s="123">
        <v>25</v>
      </c>
      <c r="AT13" s="123">
        <v>0</v>
      </c>
      <c r="AU13" s="123">
        <v>0</v>
      </c>
      <c r="AV13" s="123">
        <v>8</v>
      </c>
      <c r="AW13" s="123">
        <v>0</v>
      </c>
      <c r="AX13" s="123">
        <v>10</v>
      </c>
      <c r="AY13" s="123">
        <f>SUM(AQ13:AX13)</f>
        <v>53</v>
      </c>
      <c r="AZ13" s="18"/>
      <c r="BA13" s="78">
        <v>9</v>
      </c>
      <c r="BB13" s="110">
        <f>AY13+0</f>
        <v>53</v>
      </c>
      <c r="BC13" s="79">
        <v>55</v>
      </c>
      <c r="BD13" s="18"/>
      <c r="BE13" s="110">
        <f>AJ13</f>
        <v>75</v>
      </c>
      <c r="BF13" s="75"/>
      <c r="BG13" s="18"/>
      <c r="BH13" s="110">
        <v>100</v>
      </c>
      <c r="BI13" s="75"/>
      <c r="BJ13" s="18"/>
      <c r="BK13" s="76"/>
      <c r="BL13" s="75"/>
      <c r="BM13" s="18"/>
      <c r="BN13" s="78">
        <v>9</v>
      </c>
      <c r="BO13" s="110">
        <f>AY13-1</f>
        <v>52</v>
      </c>
      <c r="BP13" s="79">
        <v>55</v>
      </c>
      <c r="BQ13" s="18"/>
      <c r="BR13" s="110">
        <f>AJ13-1</f>
        <v>74</v>
      </c>
      <c r="BS13" s="75"/>
      <c r="BT13" s="18"/>
      <c r="BU13" s="110">
        <v>100</v>
      </c>
      <c r="BV13" s="75"/>
      <c r="BW13" s="18"/>
      <c r="BX13" s="76"/>
      <c r="BY13" s="75"/>
      <c r="BZ13" s="18"/>
      <c r="CA13" s="78">
        <v>9</v>
      </c>
      <c r="CB13" s="110">
        <f>AY13+2</f>
        <v>55</v>
      </c>
      <c r="CC13" s="79">
        <v>55</v>
      </c>
      <c r="CD13" s="18"/>
      <c r="CE13" s="110">
        <f>AJ13+2</f>
        <v>77</v>
      </c>
      <c r="CF13" s="75"/>
      <c r="CG13" s="18"/>
      <c r="CH13" s="110">
        <v>100</v>
      </c>
      <c r="CI13" s="75"/>
      <c r="CJ13" s="18"/>
      <c r="CK13" s="76"/>
      <c r="CL13" s="75"/>
      <c r="CM13" s="18"/>
      <c r="CN13" s="78">
        <v>9</v>
      </c>
      <c r="CO13" s="110">
        <f>AY13-1</f>
        <v>52</v>
      </c>
      <c r="CP13" s="79">
        <v>55</v>
      </c>
      <c r="CQ13" s="18"/>
      <c r="CR13" s="110">
        <f>AJ13+1</f>
        <v>76</v>
      </c>
      <c r="CS13" s="75"/>
      <c r="CT13" s="18"/>
      <c r="CU13" s="110">
        <v>100</v>
      </c>
      <c r="CV13" s="75"/>
      <c r="CW13" s="18"/>
      <c r="CX13" s="76"/>
      <c r="CY13" s="75"/>
      <c r="CZ13" s="18"/>
      <c r="DA13" s="78">
        <v>9</v>
      </c>
      <c r="DB13" s="79">
        <f>(BB13+BE13+BH13+BK13)/4</f>
        <v>57</v>
      </c>
      <c r="DC13" s="79">
        <f>(BO13+BR13+BU13+BX13)/4</f>
        <v>56.5</v>
      </c>
      <c r="DD13" s="79">
        <f>(CB13+CE13+CH13+CK13)/4</f>
        <v>58</v>
      </c>
      <c r="DE13" s="79">
        <f>(CO13+CR13+CU13+CX13)/4</f>
        <v>57</v>
      </c>
      <c r="DF13" s="18"/>
      <c r="DG13" s="80">
        <f>SUM(DB13:DE13)/4</f>
        <v>57.125</v>
      </c>
      <c r="DH13" s="18"/>
      <c r="DI13" s="79">
        <f>DG13*0.5</f>
        <v>28.5625</v>
      </c>
      <c r="DJ13" s="75"/>
      <c r="DK13" s="79">
        <f>DJ13*0.5</f>
        <v>0</v>
      </c>
      <c r="DL13" s="81">
        <f>DK13+DI13</f>
        <v>28.5625</v>
      </c>
      <c r="DM13" s="18"/>
      <c r="DN13" s="79">
        <f>DG13*0.3</f>
        <v>17.1375</v>
      </c>
      <c r="DO13" s="75"/>
      <c r="DP13" s="79">
        <f>DO13*0.7</f>
        <v>0</v>
      </c>
      <c r="DQ13" s="81">
        <f>DP13+DN13</f>
        <v>17.1375</v>
      </c>
    </row>
    <row r="14" ht="22.5" customHeight="1">
      <c r="A14" s="105"/>
      <c r="B14" s="106">
        <v>10</v>
      </c>
      <c r="C14" t="s" s="70">
        <v>665</v>
      </c>
      <c r="D14" t="s" s="71">
        <v>666</v>
      </c>
      <c r="E14" t="s" s="72">
        <v>43</v>
      </c>
      <c r="F14" t="s" s="113">
        <v>43</v>
      </c>
      <c r="G14" t="s" s="72">
        <v>43</v>
      </c>
      <c r="H14" t="s" s="113">
        <v>43</v>
      </c>
      <c r="I14" s="75"/>
      <c r="J14" t="s" s="72">
        <v>43</v>
      </c>
      <c r="K14" t="s" s="309">
        <v>43</v>
      </c>
      <c r="L14" s="79">
        <v>9</v>
      </c>
      <c r="M14" s="75"/>
      <c r="N14" s="75"/>
      <c r="O14" s="79">
        <v>10</v>
      </c>
      <c r="P14" s="79">
        <v>17</v>
      </c>
      <c r="Q14" s="79">
        <v>10</v>
      </c>
      <c r="R14" s="75"/>
      <c r="S14" s="79">
        <v>10</v>
      </c>
      <c r="T14" s="79">
        <v>10</v>
      </c>
      <c r="U14" s="79">
        <v>10</v>
      </c>
      <c r="V14" s="79">
        <v>8</v>
      </c>
      <c r="W14" s="79">
        <v>15</v>
      </c>
      <c r="X14" s="307">
        <f>P14+Q14+R14+S14+T14+U14+V14+W14+AB14+AC14+O14</f>
        <v>110</v>
      </c>
      <c r="Y14" s="75"/>
      <c r="Z14" s="163">
        <v>10</v>
      </c>
      <c r="AA14" s="165">
        <v>10</v>
      </c>
      <c r="AB14" s="79">
        <v>10</v>
      </c>
      <c r="AC14" s="110">
        <v>10</v>
      </c>
      <c r="AD14" s="110">
        <v>5</v>
      </c>
      <c r="AE14" s="110">
        <v>8</v>
      </c>
      <c r="AF14" s="110">
        <v>17</v>
      </c>
      <c r="AG14" s="110">
        <v>5</v>
      </c>
      <c r="AH14" s="110">
        <v>5</v>
      </c>
      <c r="AI14" s="110">
        <v>20</v>
      </c>
      <c r="AJ14" s="306">
        <f>Z14+AA14+AB14+AC14+AD14+AE14+AF14+AG14+AH14+AI14</f>
        <v>100</v>
      </c>
      <c r="AK14" s="76"/>
      <c r="AL14" s="75"/>
      <c r="AM14" s="76"/>
      <c r="AN14" s="75"/>
      <c r="AO14" s="76"/>
      <c r="AP14" s="78">
        <v>10</v>
      </c>
      <c r="AQ14" s="110">
        <v>10</v>
      </c>
      <c r="AR14" s="79">
        <v>20</v>
      </c>
      <c r="AS14" s="110">
        <v>25</v>
      </c>
      <c r="AT14" s="79">
        <v>10</v>
      </c>
      <c r="AU14" s="79">
        <v>12</v>
      </c>
      <c r="AV14" s="110">
        <v>10</v>
      </c>
      <c r="AW14" s="79">
        <v>10</v>
      </c>
      <c r="AX14" s="110">
        <v>10</v>
      </c>
      <c r="AY14" s="79">
        <v>100</v>
      </c>
      <c r="AZ14" s="112">
        <v>5</v>
      </c>
      <c r="BA14" s="78">
        <v>10</v>
      </c>
      <c r="BB14" s="110">
        <f>AY14+0</f>
        <v>100</v>
      </c>
      <c r="BC14" s="75"/>
      <c r="BD14" s="18"/>
      <c r="BE14" s="110">
        <f>AJ14</f>
        <v>100</v>
      </c>
      <c r="BF14" s="75"/>
      <c r="BG14" s="18"/>
      <c r="BH14" s="110">
        <v>100</v>
      </c>
      <c r="BI14" s="75"/>
      <c r="BJ14" s="18"/>
      <c r="BK14" s="76"/>
      <c r="BL14" s="75"/>
      <c r="BM14" s="18"/>
      <c r="BN14" s="78">
        <v>10</v>
      </c>
      <c r="BO14" s="110">
        <f>AY14-1</f>
        <v>99</v>
      </c>
      <c r="BP14" s="75"/>
      <c r="BQ14" s="18"/>
      <c r="BR14" s="110">
        <f>AJ14-1</f>
        <v>99</v>
      </c>
      <c r="BS14" s="75"/>
      <c r="BT14" s="18"/>
      <c r="BU14" s="110">
        <v>100</v>
      </c>
      <c r="BV14" s="75"/>
      <c r="BW14" s="18"/>
      <c r="BX14" s="76"/>
      <c r="BY14" s="75"/>
      <c r="BZ14" s="18"/>
      <c r="CA14" s="78">
        <v>10</v>
      </c>
      <c r="CB14" s="110">
        <v>100</v>
      </c>
      <c r="CC14" s="75"/>
      <c r="CD14" s="18"/>
      <c r="CE14" s="110">
        <f>AJ14+2</f>
        <v>102</v>
      </c>
      <c r="CF14" s="75"/>
      <c r="CG14" s="18"/>
      <c r="CH14" s="110">
        <v>100</v>
      </c>
      <c r="CI14" s="75"/>
      <c r="CJ14" s="18"/>
      <c r="CK14" s="76"/>
      <c r="CL14" s="75"/>
      <c r="CM14" s="18"/>
      <c r="CN14" s="78">
        <v>10</v>
      </c>
      <c r="CO14" s="110">
        <f>AY14-1</f>
        <v>99</v>
      </c>
      <c r="CP14" s="75"/>
      <c r="CQ14" s="18"/>
      <c r="CR14" s="110">
        <f>AJ14+1</f>
        <v>101</v>
      </c>
      <c r="CS14" s="75"/>
      <c r="CT14" s="18"/>
      <c r="CU14" s="110">
        <v>100</v>
      </c>
      <c r="CV14" s="75"/>
      <c r="CW14" s="18"/>
      <c r="CX14" s="76"/>
      <c r="CY14" s="75"/>
      <c r="CZ14" s="18"/>
      <c r="DA14" s="78">
        <v>10</v>
      </c>
      <c r="DB14" s="79">
        <f>(BB14+BE14+BH14+BK14)/4</f>
        <v>75</v>
      </c>
      <c r="DC14" s="79">
        <f>(BO14+BR14+BU14+BX14)/4</f>
        <v>74.5</v>
      </c>
      <c r="DD14" s="79">
        <f>(CB14+CE14+CH14+CK14)/4</f>
        <v>75.5</v>
      </c>
      <c r="DE14" s="79">
        <f>(CO14+CR14+CU14+CX14)/4</f>
        <v>75</v>
      </c>
      <c r="DF14" s="18"/>
      <c r="DG14" s="80">
        <f>SUM(DB14:DE14)/4</f>
        <v>75</v>
      </c>
      <c r="DH14" s="18"/>
      <c r="DI14" s="79">
        <f>DG14*0.5</f>
        <v>37.5</v>
      </c>
      <c r="DJ14" s="75"/>
      <c r="DK14" s="79">
        <f>DJ14*0.5</f>
        <v>0</v>
      </c>
      <c r="DL14" s="81">
        <f>DK14+DI14</f>
        <v>37.5</v>
      </c>
      <c r="DM14" s="18"/>
      <c r="DN14" s="79">
        <f>DG14*0.3</f>
        <v>22.5</v>
      </c>
      <c r="DO14" s="75"/>
      <c r="DP14" s="79">
        <f>DO14*0.7</f>
        <v>0</v>
      </c>
      <c r="DQ14" s="81">
        <f>DP14+DN14</f>
        <v>22.5</v>
      </c>
    </row>
    <row r="15" ht="22.5" customHeight="1">
      <c r="A15" s="105"/>
      <c r="B15" s="106">
        <v>11</v>
      </c>
      <c r="C15" t="s" s="70">
        <v>667</v>
      </c>
      <c r="D15" t="s" s="71">
        <v>668</v>
      </c>
      <c r="E15" t="s" s="72">
        <v>43</v>
      </c>
      <c r="F15" t="s" s="113">
        <v>162</v>
      </c>
      <c r="G15" t="s" s="72">
        <v>43</v>
      </c>
      <c r="H15" t="s" s="113">
        <v>43</v>
      </c>
      <c r="I15" t="s" s="83">
        <v>161</v>
      </c>
      <c r="J15" t="s" s="232">
        <v>43</v>
      </c>
      <c r="K15" t="s" s="309">
        <v>43</v>
      </c>
      <c r="L15" s="79">
        <v>5</v>
      </c>
      <c r="M15" s="75"/>
      <c r="N15" s="75"/>
      <c r="O15" s="79">
        <v>10</v>
      </c>
      <c r="P15" s="79">
        <v>8</v>
      </c>
      <c r="Q15" s="75"/>
      <c r="R15" s="79">
        <v>5</v>
      </c>
      <c r="S15" s="79">
        <v>8</v>
      </c>
      <c r="T15" s="79">
        <v>8</v>
      </c>
      <c r="U15" s="79">
        <v>7</v>
      </c>
      <c r="V15" s="79">
        <v>7</v>
      </c>
      <c r="W15" s="79">
        <v>15</v>
      </c>
      <c r="X15" s="307">
        <f>P15+Q15+R15+S15+T15+U15+V15+W15+AB15+AC15+O15</f>
        <v>85</v>
      </c>
      <c r="Y15" s="75"/>
      <c r="Z15" s="163">
        <v>8</v>
      </c>
      <c r="AA15" s="165">
        <v>0</v>
      </c>
      <c r="AB15" s="79">
        <v>8</v>
      </c>
      <c r="AC15" s="110">
        <v>9</v>
      </c>
      <c r="AD15" s="110">
        <v>5</v>
      </c>
      <c r="AE15" s="110">
        <v>9</v>
      </c>
      <c r="AF15" s="110">
        <v>0</v>
      </c>
      <c r="AG15" s="110">
        <v>0</v>
      </c>
      <c r="AH15" s="110">
        <v>0</v>
      </c>
      <c r="AI15" s="110">
        <v>20</v>
      </c>
      <c r="AJ15" s="306">
        <f>Z15+AA15+AB15+AC15+AD15+AE15+AF15+AG15+AH15+AI15</f>
        <v>59</v>
      </c>
      <c r="AK15" s="76"/>
      <c r="AL15" s="75"/>
      <c r="AM15" s="76"/>
      <c r="AN15" s="75"/>
      <c r="AO15" s="76"/>
      <c r="AP15" s="78">
        <v>11</v>
      </c>
      <c r="AQ15" s="110">
        <v>10</v>
      </c>
      <c r="AR15" s="79">
        <v>20</v>
      </c>
      <c r="AS15" s="110">
        <v>25</v>
      </c>
      <c r="AT15" s="79">
        <v>0</v>
      </c>
      <c r="AU15" s="79">
        <v>13</v>
      </c>
      <c r="AV15" s="110">
        <v>9</v>
      </c>
      <c r="AW15" s="79">
        <v>9</v>
      </c>
      <c r="AX15" s="110">
        <v>10</v>
      </c>
      <c r="AY15" s="79">
        <f>SUM(AQ15:AX15)</f>
        <v>96</v>
      </c>
      <c r="AZ15" s="18"/>
      <c r="BA15" s="78">
        <v>11</v>
      </c>
      <c r="BB15" s="110">
        <f>AY15+0</f>
        <v>96</v>
      </c>
      <c r="BC15" s="75"/>
      <c r="BD15" s="18"/>
      <c r="BE15" s="110">
        <f>AJ15</f>
        <v>59</v>
      </c>
      <c r="BF15" s="79">
        <v>78</v>
      </c>
      <c r="BG15" s="18"/>
      <c r="BH15" s="110">
        <f>X15</f>
        <v>85</v>
      </c>
      <c r="BI15" s="75"/>
      <c r="BJ15" s="18"/>
      <c r="BK15" s="76"/>
      <c r="BL15" s="75"/>
      <c r="BM15" s="18"/>
      <c r="BN15" s="78">
        <v>11</v>
      </c>
      <c r="BO15" s="110">
        <f>AY15-1</f>
        <v>95</v>
      </c>
      <c r="BP15" s="75"/>
      <c r="BQ15" s="18"/>
      <c r="BR15" s="110">
        <f>AJ15-1</f>
        <v>58</v>
      </c>
      <c r="BS15" s="79">
        <v>78</v>
      </c>
      <c r="BT15" s="18"/>
      <c r="BU15" s="110">
        <f>X15-1</f>
        <v>84</v>
      </c>
      <c r="BV15" s="75"/>
      <c r="BW15" s="18"/>
      <c r="BX15" s="76"/>
      <c r="BY15" s="75"/>
      <c r="BZ15" s="18"/>
      <c r="CA15" s="78">
        <v>11</v>
      </c>
      <c r="CB15" s="110">
        <f>AY15+2</f>
        <v>98</v>
      </c>
      <c r="CC15" s="75"/>
      <c r="CD15" s="18"/>
      <c r="CE15" s="110">
        <f>AJ15+2</f>
        <v>61</v>
      </c>
      <c r="CF15" s="79">
        <v>78</v>
      </c>
      <c r="CG15" s="18"/>
      <c r="CH15" s="110">
        <f>X15+2</f>
        <v>87</v>
      </c>
      <c r="CI15" s="75"/>
      <c r="CJ15" s="18"/>
      <c r="CK15" s="76"/>
      <c r="CL15" s="75"/>
      <c r="CM15" s="18"/>
      <c r="CN15" s="78">
        <v>11</v>
      </c>
      <c r="CO15" s="110">
        <f>AY15-1</f>
        <v>95</v>
      </c>
      <c r="CP15" s="75"/>
      <c r="CQ15" s="18"/>
      <c r="CR15" s="110">
        <f>AJ15+1</f>
        <v>60</v>
      </c>
      <c r="CS15" s="79">
        <v>78</v>
      </c>
      <c r="CT15" s="18"/>
      <c r="CU15" s="110">
        <f>X15+1</f>
        <v>86</v>
      </c>
      <c r="CV15" s="75"/>
      <c r="CW15" s="18"/>
      <c r="CX15" s="76"/>
      <c r="CY15" s="75"/>
      <c r="CZ15" s="18"/>
      <c r="DA15" s="78">
        <v>11</v>
      </c>
      <c r="DB15" s="79">
        <f>(BB15+BE15+BH15+BK15)/4</f>
        <v>60</v>
      </c>
      <c r="DC15" s="79">
        <f>(BO15+BR15+BU15+BX15)/4</f>
        <v>59.25</v>
      </c>
      <c r="DD15" s="79">
        <f>(CB15+CE15+CH15+CK15)/4</f>
        <v>61.5</v>
      </c>
      <c r="DE15" s="79">
        <f>(CO15+CR15+CU15+CX15)/4</f>
        <v>60.25</v>
      </c>
      <c r="DF15" s="18"/>
      <c r="DG15" s="80">
        <f>SUM(DB15:DE15)/4</f>
        <v>60.25</v>
      </c>
      <c r="DH15" s="18"/>
      <c r="DI15" s="79">
        <f>DG15*0.5</f>
        <v>30.125</v>
      </c>
      <c r="DJ15" s="75"/>
      <c r="DK15" s="79">
        <f>DJ15*0.5</f>
        <v>0</v>
      </c>
      <c r="DL15" s="81">
        <f>DK15+DI15</f>
        <v>30.125</v>
      </c>
      <c r="DM15" s="18"/>
      <c r="DN15" s="79">
        <f>DG15*0.3</f>
        <v>18.075</v>
      </c>
      <c r="DO15" s="75"/>
      <c r="DP15" s="79">
        <f>DO15*0.7</f>
        <v>0</v>
      </c>
      <c r="DQ15" s="81">
        <f>DP15+DN15</f>
        <v>18.075</v>
      </c>
    </row>
    <row r="16" ht="22.5" customHeight="1">
      <c r="A16" s="31">
        <v>1</v>
      </c>
      <c r="B16" s="106">
        <v>12</v>
      </c>
      <c r="C16" t="s" s="70">
        <v>669</v>
      </c>
      <c r="D16" t="s" s="71">
        <v>670</v>
      </c>
      <c r="E16" t="s" s="72">
        <v>43</v>
      </c>
      <c r="F16" t="s" s="113">
        <v>43</v>
      </c>
      <c r="G16" t="s" s="72">
        <v>43</v>
      </c>
      <c r="H16" t="s" s="113">
        <v>671</v>
      </c>
      <c r="I16" s="75"/>
      <c r="J16" t="s" s="232">
        <v>43</v>
      </c>
      <c r="K16" t="s" s="309">
        <v>43</v>
      </c>
      <c r="L16" t="s" s="83">
        <v>161</v>
      </c>
      <c r="M16" s="75"/>
      <c r="N16" s="75"/>
      <c r="O16" s="79">
        <v>10</v>
      </c>
      <c r="P16" s="75"/>
      <c r="Q16" s="75"/>
      <c r="R16" s="79">
        <v>0</v>
      </c>
      <c r="S16" s="79">
        <v>9</v>
      </c>
      <c r="T16" s="79">
        <v>10</v>
      </c>
      <c r="U16" s="79">
        <v>9</v>
      </c>
      <c r="V16" s="79">
        <v>7</v>
      </c>
      <c r="W16" s="79">
        <v>15</v>
      </c>
      <c r="X16" s="307">
        <f>P16+Q16+R16+S16+T16+U16+V16+W16+AB16+AC16+O16</f>
        <v>78</v>
      </c>
      <c r="Y16" s="75"/>
      <c r="Z16" s="163">
        <v>9</v>
      </c>
      <c r="AA16" s="165">
        <v>0</v>
      </c>
      <c r="AB16" s="79">
        <v>9</v>
      </c>
      <c r="AC16" s="110">
        <v>9</v>
      </c>
      <c r="AD16" s="110">
        <v>0</v>
      </c>
      <c r="AE16" s="110">
        <v>0</v>
      </c>
      <c r="AF16" s="110">
        <v>0</v>
      </c>
      <c r="AG16" s="110">
        <v>0</v>
      </c>
      <c r="AH16" s="110">
        <v>0</v>
      </c>
      <c r="AI16" s="110">
        <v>20</v>
      </c>
      <c r="AJ16" s="306">
        <f>Z16+AA16+AB16+AC16+AD16+AE16+AF16+AG16+AH16+AI16</f>
        <v>47</v>
      </c>
      <c r="AK16" s="76"/>
      <c r="AL16" s="75"/>
      <c r="AM16" s="76"/>
      <c r="AN16" s="75"/>
      <c r="AO16" s="76"/>
      <c r="AP16" s="78">
        <v>12</v>
      </c>
      <c r="AQ16" s="110">
        <v>10</v>
      </c>
      <c r="AR16" s="79">
        <v>20</v>
      </c>
      <c r="AS16" s="110">
        <v>25</v>
      </c>
      <c r="AT16" s="79">
        <v>9</v>
      </c>
      <c r="AU16" s="79">
        <v>0</v>
      </c>
      <c r="AV16" s="110">
        <v>10</v>
      </c>
      <c r="AW16" s="79">
        <v>0</v>
      </c>
      <c r="AX16" s="110">
        <v>10</v>
      </c>
      <c r="AY16" s="79">
        <f>SUM(AQ16:AX16)</f>
        <v>84</v>
      </c>
      <c r="AZ16" s="18"/>
      <c r="BA16" s="78">
        <v>12</v>
      </c>
      <c r="BB16" s="110">
        <f>AY16+0</f>
        <v>84</v>
      </c>
      <c r="BC16" s="75"/>
      <c r="BD16" s="18"/>
      <c r="BE16" s="110">
        <f>AJ16</f>
        <v>47</v>
      </c>
      <c r="BF16" s="79">
        <v>72</v>
      </c>
      <c r="BG16" s="18"/>
      <c r="BH16" s="110">
        <f>X16</f>
        <v>78</v>
      </c>
      <c r="BI16" s="75"/>
      <c r="BJ16" s="18"/>
      <c r="BK16" s="76"/>
      <c r="BL16" s="75"/>
      <c r="BM16" s="18"/>
      <c r="BN16" s="78">
        <v>12</v>
      </c>
      <c r="BO16" s="110">
        <f>AY16-1</f>
        <v>83</v>
      </c>
      <c r="BP16" s="75"/>
      <c r="BQ16" s="18"/>
      <c r="BR16" s="110">
        <f>AJ16-1</f>
        <v>46</v>
      </c>
      <c r="BS16" s="79">
        <v>72</v>
      </c>
      <c r="BT16" s="18"/>
      <c r="BU16" s="110">
        <f>X16-1</f>
        <v>77</v>
      </c>
      <c r="BV16" s="75"/>
      <c r="BW16" s="18"/>
      <c r="BX16" s="76"/>
      <c r="BY16" s="75"/>
      <c r="BZ16" s="18"/>
      <c r="CA16" s="78">
        <v>12</v>
      </c>
      <c r="CB16" s="110">
        <f>AY16+2</f>
        <v>86</v>
      </c>
      <c r="CC16" s="75"/>
      <c r="CD16" s="18"/>
      <c r="CE16" s="110">
        <f>AJ16+2</f>
        <v>49</v>
      </c>
      <c r="CF16" s="79">
        <v>72</v>
      </c>
      <c r="CG16" s="18"/>
      <c r="CH16" s="110">
        <f>X16+2</f>
        <v>80</v>
      </c>
      <c r="CI16" s="75"/>
      <c r="CJ16" s="18"/>
      <c r="CK16" s="76"/>
      <c r="CL16" s="75"/>
      <c r="CM16" s="18"/>
      <c r="CN16" s="78">
        <v>12</v>
      </c>
      <c r="CO16" s="110">
        <f>AY16-1</f>
        <v>83</v>
      </c>
      <c r="CP16" s="75"/>
      <c r="CQ16" s="18"/>
      <c r="CR16" s="110">
        <f>AJ16+1</f>
        <v>48</v>
      </c>
      <c r="CS16" s="79">
        <v>72</v>
      </c>
      <c r="CT16" s="18"/>
      <c r="CU16" s="110">
        <f>X16+1</f>
        <v>79</v>
      </c>
      <c r="CV16" s="75"/>
      <c r="CW16" s="18"/>
      <c r="CX16" s="76"/>
      <c r="CY16" s="75"/>
      <c r="CZ16" s="18"/>
      <c r="DA16" s="78">
        <v>12</v>
      </c>
      <c r="DB16" s="79">
        <f>(BB16+BE16+BH16+BK16)/4</f>
        <v>52.25</v>
      </c>
      <c r="DC16" s="79">
        <f>(BO16+BR16+BU16+BX16)/4</f>
        <v>51.5</v>
      </c>
      <c r="DD16" s="79">
        <f>(CB16+CE16+CH16+CK16)/4</f>
        <v>53.75</v>
      </c>
      <c r="DE16" s="79">
        <f>(CO16+CR16+CU16+CX16)/4</f>
        <v>52.5</v>
      </c>
      <c r="DF16" s="18"/>
      <c r="DG16" s="80">
        <f>SUM(DB16:DE16)/4</f>
        <v>52.5</v>
      </c>
      <c r="DH16" s="18"/>
      <c r="DI16" s="79">
        <f>DG16*0.5</f>
        <v>26.25</v>
      </c>
      <c r="DJ16" s="75"/>
      <c r="DK16" s="79">
        <f>DJ16*0.5</f>
        <v>0</v>
      </c>
      <c r="DL16" s="81">
        <f>DK16+DI16</f>
        <v>26.25</v>
      </c>
      <c r="DM16" s="18"/>
      <c r="DN16" s="79">
        <f>DG16*0.3</f>
        <v>15.75</v>
      </c>
      <c r="DO16" s="75"/>
      <c r="DP16" s="79">
        <f>DO16*0.7</f>
        <v>0</v>
      </c>
      <c r="DQ16" s="81">
        <f>DP16+DN16</f>
        <v>15.75</v>
      </c>
    </row>
    <row r="17" ht="22.5" customHeight="1">
      <c r="A17" s="31">
        <v>1</v>
      </c>
      <c r="B17" s="106">
        <v>13</v>
      </c>
      <c r="C17" t="s" s="70">
        <v>672</v>
      </c>
      <c r="D17" t="s" s="71">
        <v>673</v>
      </c>
      <c r="E17" t="s" s="72">
        <v>43</v>
      </c>
      <c r="F17" t="s" s="113">
        <v>43</v>
      </c>
      <c r="G17" t="s" s="72">
        <v>161</v>
      </c>
      <c r="H17" t="s" s="113">
        <v>161</v>
      </c>
      <c r="I17" s="75"/>
      <c r="J17" t="s" s="232">
        <v>43</v>
      </c>
      <c r="K17" t="s" s="309">
        <v>43</v>
      </c>
      <c r="L17" t="s" s="83">
        <v>161</v>
      </c>
      <c r="M17" s="75"/>
      <c r="N17" s="75"/>
      <c r="O17" s="79">
        <v>10</v>
      </c>
      <c r="P17" s="79">
        <v>15</v>
      </c>
      <c r="Q17" s="79">
        <v>10</v>
      </c>
      <c r="R17" s="75"/>
      <c r="S17" s="79">
        <v>7</v>
      </c>
      <c r="T17" s="79">
        <v>7</v>
      </c>
      <c r="U17" s="79">
        <v>7</v>
      </c>
      <c r="V17" s="79">
        <v>8</v>
      </c>
      <c r="W17" s="79">
        <v>15</v>
      </c>
      <c r="X17" s="307">
        <f>P17+Q17+R17+S17+T17+U17+V17+W17+AB17+AC17+O17</f>
        <v>97</v>
      </c>
      <c r="Y17" s="75"/>
      <c r="Z17" s="163">
        <v>8</v>
      </c>
      <c r="AA17" s="165">
        <v>0</v>
      </c>
      <c r="AB17" s="79">
        <v>9</v>
      </c>
      <c r="AC17" s="110">
        <v>9</v>
      </c>
      <c r="AD17" s="110">
        <v>8</v>
      </c>
      <c r="AE17" s="110">
        <v>8</v>
      </c>
      <c r="AF17" s="110">
        <v>15</v>
      </c>
      <c r="AG17" s="110">
        <v>0</v>
      </c>
      <c r="AH17" s="110">
        <v>0</v>
      </c>
      <c r="AI17" s="110">
        <v>20</v>
      </c>
      <c r="AJ17" s="128">
        <f>Z17+AA17+AB17+AC17+AD17+AE17+AF17+AG17+AH17+AI17</f>
        <v>77</v>
      </c>
      <c r="AK17" t="s" s="130">
        <v>202</v>
      </c>
      <c r="AL17" s="75"/>
      <c r="AM17" s="76"/>
      <c r="AN17" s="75"/>
      <c r="AO17" s="76"/>
      <c r="AP17" s="78">
        <v>13</v>
      </c>
      <c r="AQ17" s="110">
        <v>10</v>
      </c>
      <c r="AR17" s="79">
        <v>18</v>
      </c>
      <c r="AS17" s="110">
        <v>25</v>
      </c>
      <c r="AT17" s="79">
        <v>0</v>
      </c>
      <c r="AU17" s="79">
        <v>5</v>
      </c>
      <c r="AV17" s="110">
        <v>10</v>
      </c>
      <c r="AW17" s="79">
        <v>0</v>
      </c>
      <c r="AX17" s="110">
        <v>10</v>
      </c>
      <c r="AY17" s="79">
        <f>SUM(AQ17:AX17)</f>
        <v>78</v>
      </c>
      <c r="AZ17" s="18"/>
      <c r="BA17" s="78">
        <v>13</v>
      </c>
      <c r="BB17" s="110">
        <f>AY17+0</f>
        <v>78</v>
      </c>
      <c r="BC17" s="75"/>
      <c r="BD17" s="18"/>
      <c r="BE17" s="110">
        <f>AJ17</f>
        <v>77</v>
      </c>
      <c r="BF17" s="75"/>
      <c r="BG17" s="18"/>
      <c r="BH17" s="110">
        <f>X17</f>
        <v>97</v>
      </c>
      <c r="BI17" s="75"/>
      <c r="BJ17" s="18"/>
      <c r="BK17" s="76"/>
      <c r="BL17" s="75"/>
      <c r="BM17" s="18"/>
      <c r="BN17" s="78">
        <v>13</v>
      </c>
      <c r="BO17" s="110">
        <f>AY17-1</f>
        <v>77</v>
      </c>
      <c r="BP17" s="75"/>
      <c r="BQ17" s="18"/>
      <c r="BR17" s="110">
        <f>AJ17-1</f>
        <v>76</v>
      </c>
      <c r="BS17" s="75"/>
      <c r="BT17" s="18"/>
      <c r="BU17" s="110">
        <f>X17-1</f>
        <v>96</v>
      </c>
      <c r="BV17" s="75"/>
      <c r="BW17" s="18"/>
      <c r="BX17" s="76"/>
      <c r="BY17" s="75"/>
      <c r="BZ17" s="18"/>
      <c r="CA17" s="78">
        <v>13</v>
      </c>
      <c r="CB17" s="110">
        <f>AY17+2</f>
        <v>80</v>
      </c>
      <c r="CC17" s="75"/>
      <c r="CD17" s="18"/>
      <c r="CE17" s="110">
        <f>AJ17+2</f>
        <v>79</v>
      </c>
      <c r="CF17" s="75"/>
      <c r="CG17" s="18"/>
      <c r="CH17" s="110">
        <f>X17+2</f>
        <v>99</v>
      </c>
      <c r="CI17" s="75"/>
      <c r="CJ17" s="18"/>
      <c r="CK17" s="76"/>
      <c r="CL17" s="75"/>
      <c r="CM17" s="18"/>
      <c r="CN17" s="78">
        <v>13</v>
      </c>
      <c r="CO17" s="110">
        <f>AY17-1</f>
        <v>77</v>
      </c>
      <c r="CP17" s="75"/>
      <c r="CQ17" s="18"/>
      <c r="CR17" s="110">
        <f>AJ17+1</f>
        <v>78</v>
      </c>
      <c r="CS17" s="75"/>
      <c r="CT17" s="18"/>
      <c r="CU17" s="110">
        <f>X17+1</f>
        <v>98</v>
      </c>
      <c r="CV17" s="75"/>
      <c r="CW17" s="18"/>
      <c r="CX17" s="76"/>
      <c r="CY17" s="75"/>
      <c r="CZ17" s="18"/>
      <c r="DA17" s="78">
        <v>13</v>
      </c>
      <c r="DB17" s="79">
        <f>(BB17+BE17+BH17+BK17)/4</f>
        <v>63</v>
      </c>
      <c r="DC17" s="79">
        <f>(BO17+BR17+BU17+BX17)/4</f>
        <v>62.25</v>
      </c>
      <c r="DD17" s="79">
        <f>(CB17+CE17+CH17+CK17)/4</f>
        <v>64.5</v>
      </c>
      <c r="DE17" s="79">
        <f>(CO17+CR17+CU17+CX17)/4</f>
        <v>63.25</v>
      </c>
      <c r="DF17" s="18"/>
      <c r="DG17" s="80">
        <f>SUM(DB17:DE17)/4</f>
        <v>63.25</v>
      </c>
      <c r="DH17" s="18"/>
      <c r="DI17" s="79">
        <f>DG17*0.5</f>
        <v>31.625</v>
      </c>
      <c r="DJ17" s="75"/>
      <c r="DK17" s="79">
        <f>DJ17*0.5</f>
        <v>0</v>
      </c>
      <c r="DL17" s="81">
        <f>DK17+DI17</f>
        <v>31.625</v>
      </c>
      <c r="DM17" s="18"/>
      <c r="DN17" s="79">
        <f>DG17*0.3</f>
        <v>18.975</v>
      </c>
      <c r="DO17" s="75"/>
      <c r="DP17" s="79">
        <f>DO17*0.7</f>
        <v>0</v>
      </c>
      <c r="DQ17" s="81">
        <f>DP17+DN17</f>
        <v>18.975</v>
      </c>
    </row>
    <row r="18" ht="22.5" customHeight="1">
      <c r="A18" s="31">
        <v>1</v>
      </c>
      <c r="B18" s="106">
        <v>14</v>
      </c>
      <c r="C18" t="s" s="70">
        <v>674</v>
      </c>
      <c r="D18" t="s" s="71">
        <v>675</v>
      </c>
      <c r="E18" t="s" s="72">
        <v>43</v>
      </c>
      <c r="F18" t="s" s="113">
        <v>43</v>
      </c>
      <c r="G18" t="s" s="72">
        <v>161</v>
      </c>
      <c r="H18" t="s" s="113">
        <v>43</v>
      </c>
      <c r="I18" s="75"/>
      <c r="J18" t="s" s="232">
        <v>43</v>
      </c>
      <c r="K18" t="s" s="309">
        <v>43</v>
      </c>
      <c r="L18" t="s" s="83">
        <v>161</v>
      </c>
      <c r="M18" s="75"/>
      <c r="N18" s="75"/>
      <c r="O18" s="79">
        <v>10</v>
      </c>
      <c r="P18" s="79">
        <v>15</v>
      </c>
      <c r="Q18" s="79">
        <v>10</v>
      </c>
      <c r="R18" s="79">
        <v>3</v>
      </c>
      <c r="S18" s="79">
        <v>8</v>
      </c>
      <c r="T18" s="79">
        <v>9</v>
      </c>
      <c r="U18" s="79">
        <v>8</v>
      </c>
      <c r="V18" s="79">
        <v>9</v>
      </c>
      <c r="W18" s="79">
        <v>15</v>
      </c>
      <c r="X18" s="307">
        <f>P18+Q18+R18+S18+T18+U18+V18+W18+AB18+AC18+O18</f>
        <v>107</v>
      </c>
      <c r="Y18" s="75"/>
      <c r="Z18" s="163">
        <v>8</v>
      </c>
      <c r="AA18" s="165">
        <v>10</v>
      </c>
      <c r="AB18" s="79">
        <v>10</v>
      </c>
      <c r="AC18" s="110">
        <v>10</v>
      </c>
      <c r="AD18" s="110">
        <v>0</v>
      </c>
      <c r="AE18" s="110">
        <v>10</v>
      </c>
      <c r="AF18" s="110">
        <v>20</v>
      </c>
      <c r="AG18" s="110">
        <v>5</v>
      </c>
      <c r="AH18" s="110">
        <v>5</v>
      </c>
      <c r="AI18" s="110">
        <v>20</v>
      </c>
      <c r="AJ18" s="306">
        <f>Z18+AA18+AB18+AC18+AD18+AE18+AF18+AG18+AH18+AI18</f>
        <v>98</v>
      </c>
      <c r="AK18" s="76"/>
      <c r="AL18" s="75"/>
      <c r="AM18" s="76"/>
      <c r="AN18" s="75"/>
      <c r="AO18" s="76"/>
      <c r="AP18" s="78">
        <v>14</v>
      </c>
      <c r="AQ18" s="110">
        <v>10</v>
      </c>
      <c r="AR18" s="79">
        <v>20</v>
      </c>
      <c r="AS18" s="110">
        <v>25</v>
      </c>
      <c r="AT18" s="79">
        <v>0</v>
      </c>
      <c r="AU18" s="79">
        <v>15</v>
      </c>
      <c r="AV18" s="110">
        <v>10</v>
      </c>
      <c r="AW18" s="79">
        <v>10</v>
      </c>
      <c r="AX18" s="110">
        <v>10</v>
      </c>
      <c r="AY18" s="79">
        <f>SUM(AQ18:AX18)</f>
        <v>100</v>
      </c>
      <c r="AZ18" s="18"/>
      <c r="BA18" s="78">
        <v>14</v>
      </c>
      <c r="BB18" s="110">
        <f>AY18+0</f>
        <v>100</v>
      </c>
      <c r="BC18" s="75"/>
      <c r="BD18" s="18"/>
      <c r="BE18" s="110">
        <f>AJ18</f>
        <v>98</v>
      </c>
      <c r="BF18" s="75"/>
      <c r="BG18" s="18"/>
      <c r="BH18" s="110">
        <v>100</v>
      </c>
      <c r="BI18" s="75"/>
      <c r="BJ18" s="18"/>
      <c r="BK18" s="76"/>
      <c r="BL18" s="75"/>
      <c r="BM18" s="18"/>
      <c r="BN18" s="78">
        <v>14</v>
      </c>
      <c r="BO18" s="110">
        <f>AY18-1</f>
        <v>99</v>
      </c>
      <c r="BP18" s="75"/>
      <c r="BQ18" s="18"/>
      <c r="BR18" s="110">
        <f>AJ18-1</f>
        <v>97</v>
      </c>
      <c r="BS18" s="75"/>
      <c r="BT18" s="18"/>
      <c r="BU18" s="110">
        <v>100</v>
      </c>
      <c r="BV18" s="75"/>
      <c r="BW18" s="18"/>
      <c r="BX18" s="76"/>
      <c r="BY18" s="75"/>
      <c r="BZ18" s="18"/>
      <c r="CA18" s="78">
        <v>14</v>
      </c>
      <c r="CB18" s="110">
        <v>100</v>
      </c>
      <c r="CC18" s="75"/>
      <c r="CD18" s="18"/>
      <c r="CE18" s="110">
        <f>AJ18+2</f>
        <v>100</v>
      </c>
      <c r="CF18" s="75"/>
      <c r="CG18" s="18"/>
      <c r="CH18" s="110">
        <v>100</v>
      </c>
      <c r="CI18" s="75"/>
      <c r="CJ18" s="18"/>
      <c r="CK18" s="76"/>
      <c r="CL18" s="75"/>
      <c r="CM18" s="18"/>
      <c r="CN18" s="78">
        <v>14</v>
      </c>
      <c r="CO18" s="110">
        <f>AY18-1</f>
        <v>99</v>
      </c>
      <c r="CP18" s="75"/>
      <c r="CQ18" s="18"/>
      <c r="CR18" s="110">
        <f>AJ18+1</f>
        <v>99</v>
      </c>
      <c r="CS18" s="75"/>
      <c r="CT18" s="18"/>
      <c r="CU18" s="110">
        <v>100</v>
      </c>
      <c r="CV18" s="75"/>
      <c r="CW18" s="18"/>
      <c r="CX18" s="76"/>
      <c r="CY18" s="75"/>
      <c r="CZ18" s="18"/>
      <c r="DA18" s="78">
        <v>14</v>
      </c>
      <c r="DB18" s="79">
        <f>(BB18+BE18+BH18+BK18)/4</f>
        <v>74.5</v>
      </c>
      <c r="DC18" s="79">
        <f>(BO18+BR18+BU18+BX18)/4</f>
        <v>74</v>
      </c>
      <c r="DD18" s="79">
        <f>(CB18+CE18+CH18+CK18)/4</f>
        <v>75</v>
      </c>
      <c r="DE18" s="79">
        <f>(CO18+CR18+CU18+CX18)/4</f>
        <v>74.5</v>
      </c>
      <c r="DF18" s="18"/>
      <c r="DG18" s="80">
        <f>SUM(DB18:DE18)/4</f>
        <v>74.5</v>
      </c>
      <c r="DH18" s="18"/>
      <c r="DI18" s="79">
        <f>DG18*0.5</f>
        <v>37.25</v>
      </c>
      <c r="DJ18" s="75"/>
      <c r="DK18" s="79">
        <f>DJ18*0.5</f>
        <v>0</v>
      </c>
      <c r="DL18" s="81">
        <f>DK18+DI18</f>
        <v>37.25</v>
      </c>
      <c r="DM18" s="18"/>
      <c r="DN18" s="79">
        <f>DG18*0.3</f>
        <v>22.35</v>
      </c>
      <c r="DO18" s="75"/>
      <c r="DP18" s="79">
        <f>DO18*0.7</f>
        <v>0</v>
      </c>
      <c r="DQ18" s="81">
        <f>DP18+DN18</f>
        <v>22.35</v>
      </c>
    </row>
    <row r="19" ht="22.5" customHeight="1">
      <c r="A19" s="31">
        <v>1</v>
      </c>
      <c r="B19" s="106">
        <v>15</v>
      </c>
      <c r="C19" t="s" s="70">
        <v>676</v>
      </c>
      <c r="D19" t="s" s="71">
        <v>677</v>
      </c>
      <c r="E19" t="s" s="72">
        <v>43</v>
      </c>
      <c r="F19" t="s" s="113">
        <v>43</v>
      </c>
      <c r="G19" t="s" s="72">
        <v>161</v>
      </c>
      <c r="H19" t="s" s="113">
        <v>43</v>
      </c>
      <c r="I19" t="s" s="83">
        <v>161</v>
      </c>
      <c r="J19" t="s" s="72">
        <v>191</v>
      </c>
      <c r="K19" t="s" s="309">
        <v>43</v>
      </c>
      <c r="L19" s="79">
        <v>9</v>
      </c>
      <c r="M19" s="75"/>
      <c r="N19" s="75"/>
      <c r="O19" s="79">
        <v>6</v>
      </c>
      <c r="P19" s="79">
        <v>12</v>
      </c>
      <c r="Q19" s="75"/>
      <c r="R19" s="79">
        <v>5</v>
      </c>
      <c r="S19" s="79">
        <v>8</v>
      </c>
      <c r="T19" s="79">
        <v>9</v>
      </c>
      <c r="U19" s="79">
        <v>8</v>
      </c>
      <c r="V19" s="79">
        <v>9</v>
      </c>
      <c r="W19" s="79">
        <v>15</v>
      </c>
      <c r="X19" s="307">
        <f>P19+Q19+R19+S19+T19+U19+V19+W19+AB19+AC19+O19</f>
        <v>82</v>
      </c>
      <c r="Y19" s="75"/>
      <c r="Z19" s="163">
        <v>7</v>
      </c>
      <c r="AA19" s="165">
        <v>0</v>
      </c>
      <c r="AB19" s="79">
        <v>10</v>
      </c>
      <c r="AC19" s="76"/>
      <c r="AD19" s="110">
        <v>5</v>
      </c>
      <c r="AE19" s="110">
        <v>8</v>
      </c>
      <c r="AF19" s="110">
        <v>7</v>
      </c>
      <c r="AG19" s="110">
        <v>0</v>
      </c>
      <c r="AH19" s="110">
        <v>0</v>
      </c>
      <c r="AI19" s="110">
        <v>20</v>
      </c>
      <c r="AJ19" s="306">
        <f>Z19+AA19+AB19+AC19+AD19+AE19+AF19+AG19+AH19+AI19</f>
        <v>57</v>
      </c>
      <c r="AK19" t="s" s="130">
        <v>678</v>
      </c>
      <c r="AL19" s="75"/>
      <c r="AM19" s="76"/>
      <c r="AN19" s="75"/>
      <c r="AO19" s="76"/>
      <c r="AP19" s="78">
        <v>15</v>
      </c>
      <c r="AQ19" s="110">
        <v>10</v>
      </c>
      <c r="AR19" s="79">
        <v>20</v>
      </c>
      <c r="AS19" s="110">
        <v>25</v>
      </c>
      <c r="AT19" s="79">
        <v>4</v>
      </c>
      <c r="AU19" s="79">
        <v>15</v>
      </c>
      <c r="AV19" s="110">
        <v>10</v>
      </c>
      <c r="AW19" s="79">
        <v>3</v>
      </c>
      <c r="AX19" s="110">
        <v>10</v>
      </c>
      <c r="AY19" s="79">
        <f>SUM(AQ19:AX19)</f>
        <v>97</v>
      </c>
      <c r="AZ19" s="18"/>
      <c r="BA19" s="78">
        <v>15</v>
      </c>
      <c r="BB19" s="110">
        <f>AY19+0</f>
        <v>97</v>
      </c>
      <c r="BC19" s="75"/>
      <c r="BD19" s="18"/>
      <c r="BE19" s="110">
        <f>AJ19</f>
        <v>57</v>
      </c>
      <c r="BF19" s="79">
        <v>75</v>
      </c>
      <c r="BG19" s="18"/>
      <c r="BH19" s="110">
        <f>X19</f>
        <v>82</v>
      </c>
      <c r="BI19" s="75"/>
      <c r="BJ19" s="18"/>
      <c r="BK19" s="76"/>
      <c r="BL19" s="75"/>
      <c r="BM19" s="18"/>
      <c r="BN19" s="78">
        <v>15</v>
      </c>
      <c r="BO19" s="110">
        <f>AY19-1</f>
        <v>96</v>
      </c>
      <c r="BP19" s="75"/>
      <c r="BQ19" s="18"/>
      <c r="BR19" s="110">
        <f>AJ19-1</f>
        <v>56</v>
      </c>
      <c r="BS19" s="79">
        <v>75</v>
      </c>
      <c r="BT19" s="18"/>
      <c r="BU19" s="110">
        <f>X19-1</f>
        <v>81</v>
      </c>
      <c r="BV19" s="75"/>
      <c r="BW19" s="18"/>
      <c r="BX19" s="76"/>
      <c r="BY19" s="75"/>
      <c r="BZ19" s="18"/>
      <c r="CA19" s="78">
        <v>15</v>
      </c>
      <c r="CB19" s="110">
        <f>AY19+2</f>
        <v>99</v>
      </c>
      <c r="CC19" s="75"/>
      <c r="CD19" s="18"/>
      <c r="CE19" s="110">
        <f>AJ19+2</f>
        <v>59</v>
      </c>
      <c r="CF19" s="79">
        <v>75</v>
      </c>
      <c r="CG19" s="18"/>
      <c r="CH19" s="110">
        <f>X19+2</f>
        <v>84</v>
      </c>
      <c r="CI19" s="75"/>
      <c r="CJ19" s="18"/>
      <c r="CK19" s="76"/>
      <c r="CL19" s="75"/>
      <c r="CM19" s="18"/>
      <c r="CN19" s="78">
        <v>15</v>
      </c>
      <c r="CO19" s="110">
        <f>AY19-1</f>
        <v>96</v>
      </c>
      <c r="CP19" s="75"/>
      <c r="CQ19" s="18"/>
      <c r="CR19" s="110">
        <f>AJ19+1</f>
        <v>58</v>
      </c>
      <c r="CS19" s="79">
        <v>75</v>
      </c>
      <c r="CT19" s="18"/>
      <c r="CU19" s="110">
        <f>X19+1</f>
        <v>83</v>
      </c>
      <c r="CV19" s="75"/>
      <c r="CW19" s="18"/>
      <c r="CX19" s="76"/>
      <c r="CY19" s="75"/>
      <c r="CZ19" s="18"/>
      <c r="DA19" s="78">
        <v>15</v>
      </c>
      <c r="DB19" s="79">
        <f>(BB19+BE19+BH19+BK19)/4</f>
        <v>59</v>
      </c>
      <c r="DC19" s="79">
        <f>(BO19+BR19+BU19+BX19)/4</f>
        <v>58.25</v>
      </c>
      <c r="DD19" s="79">
        <f>(CB19+CE19+CH19+CK19)/4</f>
        <v>60.5</v>
      </c>
      <c r="DE19" s="79">
        <f>(CO19+CR19+CU19+CX19)/4</f>
        <v>59.25</v>
      </c>
      <c r="DF19" s="18"/>
      <c r="DG19" s="80">
        <f>SUM(DB19:DE19)/4</f>
        <v>59.25</v>
      </c>
      <c r="DH19" s="18"/>
      <c r="DI19" s="79">
        <f>DG19*0.5</f>
        <v>29.625</v>
      </c>
      <c r="DJ19" s="75"/>
      <c r="DK19" s="79">
        <f>DJ19*0.5</f>
        <v>0</v>
      </c>
      <c r="DL19" s="81">
        <f>DK19+DI19</f>
        <v>29.625</v>
      </c>
      <c r="DM19" s="18"/>
      <c r="DN19" s="79">
        <f>DG19*0.3</f>
        <v>17.775</v>
      </c>
      <c r="DO19" s="75"/>
      <c r="DP19" s="79">
        <f>DO19*0.7</f>
        <v>0</v>
      </c>
      <c r="DQ19" s="81">
        <f>DP19+DN19</f>
        <v>17.775</v>
      </c>
    </row>
    <row r="20" ht="22.5" customHeight="1">
      <c r="A20" s="105"/>
      <c r="B20" s="106">
        <v>16</v>
      </c>
      <c r="C20" t="s" s="70">
        <v>679</v>
      </c>
      <c r="D20" t="s" s="71">
        <v>680</v>
      </c>
      <c r="E20" t="s" s="72">
        <v>43</v>
      </c>
      <c r="F20" t="s" s="113">
        <v>43</v>
      </c>
      <c r="G20" t="s" s="72">
        <v>161</v>
      </c>
      <c r="H20" t="s" s="113">
        <v>43</v>
      </c>
      <c r="I20" s="75"/>
      <c r="J20" t="s" s="72">
        <v>43</v>
      </c>
      <c r="K20" t="s" s="309">
        <v>43</v>
      </c>
      <c r="L20" t="s" s="83">
        <v>161</v>
      </c>
      <c r="M20" s="75"/>
      <c r="N20" s="75"/>
      <c r="O20" s="79">
        <v>10</v>
      </c>
      <c r="P20" s="79">
        <v>10</v>
      </c>
      <c r="Q20" s="75"/>
      <c r="R20" s="79">
        <v>5</v>
      </c>
      <c r="S20" s="79">
        <v>8</v>
      </c>
      <c r="T20" s="79">
        <v>8</v>
      </c>
      <c r="U20" s="79">
        <v>8</v>
      </c>
      <c r="V20" s="79">
        <v>8</v>
      </c>
      <c r="W20" s="79">
        <v>15</v>
      </c>
      <c r="X20" s="307">
        <f>P20+Q20+R20+S20+T20+U20+V20+W20+AB20+AC20+O20</f>
        <v>88</v>
      </c>
      <c r="Y20" s="75"/>
      <c r="Z20" s="163">
        <v>8</v>
      </c>
      <c r="AA20" s="165">
        <v>0</v>
      </c>
      <c r="AB20" s="79">
        <v>8</v>
      </c>
      <c r="AC20" s="110">
        <v>8</v>
      </c>
      <c r="AD20" s="110">
        <v>0</v>
      </c>
      <c r="AE20" s="110">
        <v>8</v>
      </c>
      <c r="AF20" s="137">
        <v>15</v>
      </c>
      <c r="AG20" s="110">
        <v>5</v>
      </c>
      <c r="AH20" s="110">
        <v>5</v>
      </c>
      <c r="AI20" s="110">
        <v>20</v>
      </c>
      <c r="AJ20" s="128">
        <v>75</v>
      </c>
      <c r="AK20" t="s" s="130">
        <v>681</v>
      </c>
      <c r="AL20" s="75"/>
      <c r="AM20" s="76"/>
      <c r="AN20" s="75"/>
      <c r="AO20" s="76"/>
      <c r="AP20" s="78">
        <v>16</v>
      </c>
      <c r="AQ20" s="110">
        <v>10</v>
      </c>
      <c r="AR20" s="79">
        <v>18</v>
      </c>
      <c r="AS20" s="110">
        <v>25</v>
      </c>
      <c r="AT20" s="79">
        <v>0</v>
      </c>
      <c r="AU20" s="79">
        <v>12</v>
      </c>
      <c r="AV20" s="110">
        <v>9</v>
      </c>
      <c r="AW20" s="79">
        <v>6</v>
      </c>
      <c r="AX20" s="110">
        <v>10</v>
      </c>
      <c r="AY20" s="79">
        <f>SUM(AQ20:AX20)</f>
        <v>90</v>
      </c>
      <c r="AZ20" s="18"/>
      <c r="BA20" s="78">
        <v>16</v>
      </c>
      <c r="BB20" s="110">
        <f>AY20+0</f>
        <v>90</v>
      </c>
      <c r="BC20" s="75"/>
      <c r="BD20" s="18"/>
      <c r="BE20" s="110">
        <f>AJ20</f>
        <v>75</v>
      </c>
      <c r="BF20" s="75"/>
      <c r="BG20" s="18"/>
      <c r="BH20" s="110">
        <f>X20</f>
        <v>88</v>
      </c>
      <c r="BI20" s="75"/>
      <c r="BJ20" s="18"/>
      <c r="BK20" s="76"/>
      <c r="BL20" s="75"/>
      <c r="BM20" s="18"/>
      <c r="BN20" s="78">
        <v>16</v>
      </c>
      <c r="BO20" s="110">
        <f>AY20-1</f>
        <v>89</v>
      </c>
      <c r="BP20" s="75"/>
      <c r="BQ20" s="18"/>
      <c r="BR20" s="110">
        <f>AJ20-1</f>
        <v>74</v>
      </c>
      <c r="BS20" s="75"/>
      <c r="BT20" s="18"/>
      <c r="BU20" s="110">
        <f>X20-1</f>
        <v>87</v>
      </c>
      <c r="BV20" s="75"/>
      <c r="BW20" s="18"/>
      <c r="BX20" s="76"/>
      <c r="BY20" s="75"/>
      <c r="BZ20" s="18"/>
      <c r="CA20" s="78">
        <v>16</v>
      </c>
      <c r="CB20" s="110">
        <f>AY20+2</f>
        <v>92</v>
      </c>
      <c r="CC20" s="75"/>
      <c r="CD20" s="18"/>
      <c r="CE20" s="110">
        <f>AJ20+2</f>
        <v>77</v>
      </c>
      <c r="CF20" s="75"/>
      <c r="CG20" s="18"/>
      <c r="CH20" s="110">
        <f>X20+2</f>
        <v>90</v>
      </c>
      <c r="CI20" s="75"/>
      <c r="CJ20" s="18"/>
      <c r="CK20" s="76"/>
      <c r="CL20" s="75"/>
      <c r="CM20" s="18"/>
      <c r="CN20" s="78">
        <v>16</v>
      </c>
      <c r="CO20" s="110">
        <f>AY20-1</f>
        <v>89</v>
      </c>
      <c r="CP20" s="75"/>
      <c r="CQ20" s="18"/>
      <c r="CR20" s="110">
        <f>AJ20+1</f>
        <v>76</v>
      </c>
      <c r="CS20" s="75"/>
      <c r="CT20" s="18"/>
      <c r="CU20" s="110">
        <f>X20+1</f>
        <v>89</v>
      </c>
      <c r="CV20" s="75"/>
      <c r="CW20" s="18"/>
      <c r="CX20" s="76"/>
      <c r="CY20" s="75"/>
      <c r="CZ20" s="18"/>
      <c r="DA20" s="78">
        <v>16</v>
      </c>
      <c r="DB20" s="79">
        <f>(BB20+BE20+BH20+BK20)/4</f>
        <v>63.25</v>
      </c>
      <c r="DC20" s="79">
        <f>(BO20+BR20+BU20+BX20)/4</f>
        <v>62.5</v>
      </c>
      <c r="DD20" s="79">
        <f>(CB20+CE20+CH20+CK20)/4</f>
        <v>64.75</v>
      </c>
      <c r="DE20" s="79">
        <f>(CO20+CR20+CU20+CX20)/4</f>
        <v>63.5</v>
      </c>
      <c r="DF20" s="18"/>
      <c r="DG20" s="80">
        <f>SUM(DB20:DE20)/4</f>
        <v>63.5</v>
      </c>
      <c r="DH20" s="18"/>
      <c r="DI20" s="79">
        <f>DG20*0.5</f>
        <v>31.75</v>
      </c>
      <c r="DJ20" s="75"/>
      <c r="DK20" s="79">
        <f>DJ20*0.5</f>
        <v>0</v>
      </c>
      <c r="DL20" s="81">
        <f>DK20+DI20</f>
        <v>31.75</v>
      </c>
      <c r="DM20" s="18"/>
      <c r="DN20" s="79">
        <f>DG20*0.3</f>
        <v>19.05</v>
      </c>
      <c r="DO20" s="75"/>
      <c r="DP20" s="79">
        <f>DO20*0.7</f>
        <v>0</v>
      </c>
      <c r="DQ20" s="81">
        <f>DP20+DN20</f>
        <v>19.05</v>
      </c>
    </row>
    <row r="21" ht="22.5" customHeight="1">
      <c r="A21" s="31">
        <v>1</v>
      </c>
      <c r="B21" s="106">
        <v>17</v>
      </c>
      <c r="C21" t="s" s="70">
        <v>682</v>
      </c>
      <c r="D21" t="s" s="71">
        <v>683</v>
      </c>
      <c r="E21" t="s" s="72">
        <v>43</v>
      </c>
      <c r="F21" t="s" s="113">
        <v>43</v>
      </c>
      <c r="G21" t="s" s="72">
        <v>43</v>
      </c>
      <c r="H21" t="s" s="113">
        <v>43</v>
      </c>
      <c r="I21" s="75"/>
      <c r="J21" t="s" s="72">
        <v>43</v>
      </c>
      <c r="K21" t="s" s="309">
        <v>43</v>
      </c>
      <c r="L21" s="79">
        <v>4</v>
      </c>
      <c r="M21" s="75"/>
      <c r="N21" s="75"/>
      <c r="O21" s="79">
        <v>10</v>
      </c>
      <c r="P21" s="75"/>
      <c r="Q21" s="75"/>
      <c r="R21" s="75"/>
      <c r="S21" s="79">
        <v>8</v>
      </c>
      <c r="T21" s="79">
        <v>9</v>
      </c>
      <c r="U21" s="79">
        <v>8</v>
      </c>
      <c r="V21" s="79">
        <v>8</v>
      </c>
      <c r="W21" s="79">
        <v>15</v>
      </c>
      <c r="X21" s="307">
        <f>P21+Q21+R21+S21+T21+U21+V21+W21+AB21+AC21+O21</f>
        <v>76</v>
      </c>
      <c r="Y21" s="75"/>
      <c r="Z21" s="163">
        <v>10</v>
      </c>
      <c r="AA21" s="165">
        <v>0</v>
      </c>
      <c r="AB21" s="79">
        <v>9</v>
      </c>
      <c r="AC21" s="110">
        <v>9</v>
      </c>
      <c r="AD21" s="110">
        <v>0</v>
      </c>
      <c r="AE21" s="110">
        <v>9</v>
      </c>
      <c r="AF21" s="110">
        <v>12</v>
      </c>
      <c r="AG21" s="110">
        <v>0</v>
      </c>
      <c r="AH21" s="110">
        <v>0</v>
      </c>
      <c r="AI21" s="110">
        <v>20</v>
      </c>
      <c r="AJ21" s="306">
        <f>Z21+AA21+AB21+AC21+AD21+AE21+AF21+AG21+AH21+AI21</f>
        <v>69</v>
      </c>
      <c r="AK21" s="76"/>
      <c r="AL21" s="75"/>
      <c r="AM21" s="76"/>
      <c r="AN21" s="75"/>
      <c r="AO21" s="76"/>
      <c r="AP21" s="78">
        <v>17</v>
      </c>
      <c r="AQ21" s="123">
        <v>10</v>
      </c>
      <c r="AR21" s="123">
        <v>10</v>
      </c>
      <c r="AS21" s="123">
        <v>25</v>
      </c>
      <c r="AT21" s="123">
        <v>10</v>
      </c>
      <c r="AU21" s="123">
        <v>10</v>
      </c>
      <c r="AV21" s="123">
        <v>8</v>
      </c>
      <c r="AW21" s="123">
        <v>0</v>
      </c>
      <c r="AX21" s="123">
        <v>10</v>
      </c>
      <c r="AY21" s="123">
        <f>SUM(AQ21:AX21)</f>
        <v>83</v>
      </c>
      <c r="AZ21" s="112">
        <v>83</v>
      </c>
      <c r="BA21" s="78">
        <v>17</v>
      </c>
      <c r="BB21" s="110">
        <f>AY21+0</f>
        <v>83</v>
      </c>
      <c r="BC21" s="75"/>
      <c r="BD21" s="18"/>
      <c r="BE21" s="110">
        <f>AJ21</f>
        <v>69</v>
      </c>
      <c r="BF21" s="79">
        <v>70</v>
      </c>
      <c r="BG21" s="18"/>
      <c r="BH21" s="110">
        <f>X21</f>
        <v>76</v>
      </c>
      <c r="BI21" s="75"/>
      <c r="BJ21" s="18"/>
      <c r="BK21" s="76"/>
      <c r="BL21" s="75"/>
      <c r="BM21" s="18"/>
      <c r="BN21" s="78">
        <v>17</v>
      </c>
      <c r="BO21" s="110">
        <f>AY21-1</f>
        <v>82</v>
      </c>
      <c r="BP21" s="75"/>
      <c r="BQ21" s="18"/>
      <c r="BR21" s="110">
        <f>AJ21-1</f>
        <v>68</v>
      </c>
      <c r="BS21" s="79">
        <v>70</v>
      </c>
      <c r="BT21" s="18"/>
      <c r="BU21" s="110">
        <f>X21-1</f>
        <v>75</v>
      </c>
      <c r="BV21" s="75"/>
      <c r="BW21" s="18"/>
      <c r="BX21" s="76"/>
      <c r="BY21" s="75"/>
      <c r="BZ21" s="18"/>
      <c r="CA21" s="78">
        <v>17</v>
      </c>
      <c r="CB21" s="110">
        <f>AY21+2</f>
        <v>85</v>
      </c>
      <c r="CC21" s="75"/>
      <c r="CD21" s="18"/>
      <c r="CE21" s="110">
        <f>AJ21+2</f>
        <v>71</v>
      </c>
      <c r="CF21" s="79">
        <v>70</v>
      </c>
      <c r="CG21" s="18"/>
      <c r="CH21" s="110">
        <f>X21+2</f>
        <v>78</v>
      </c>
      <c r="CI21" s="75"/>
      <c r="CJ21" s="18"/>
      <c r="CK21" s="76"/>
      <c r="CL21" s="75"/>
      <c r="CM21" s="18"/>
      <c r="CN21" s="78">
        <v>17</v>
      </c>
      <c r="CO21" s="110">
        <f>AY21-1</f>
        <v>82</v>
      </c>
      <c r="CP21" s="75"/>
      <c r="CQ21" s="18"/>
      <c r="CR21" s="110">
        <f>AJ21+1</f>
        <v>70</v>
      </c>
      <c r="CS21" s="79">
        <v>70</v>
      </c>
      <c r="CT21" s="18"/>
      <c r="CU21" s="110">
        <f>X21+1</f>
        <v>77</v>
      </c>
      <c r="CV21" s="75"/>
      <c r="CW21" s="18"/>
      <c r="CX21" s="76"/>
      <c r="CY21" s="75"/>
      <c r="CZ21" s="18"/>
      <c r="DA21" s="78">
        <v>17</v>
      </c>
      <c r="DB21" s="79">
        <f>(BB21+BE21+BH21+BK21)/4</f>
        <v>57</v>
      </c>
      <c r="DC21" s="79">
        <f>(BO21+BR21+BU21+BX21)/4</f>
        <v>56.25</v>
      </c>
      <c r="DD21" s="79">
        <f>(CB21+CE21+CH21+CK21)/4</f>
        <v>58.5</v>
      </c>
      <c r="DE21" s="79">
        <f>(CO21+CR21+CU21+CX21)/4</f>
        <v>57.25</v>
      </c>
      <c r="DF21" s="18"/>
      <c r="DG21" s="80">
        <f>SUM(DB21:DE21)/4</f>
        <v>57.25</v>
      </c>
      <c r="DH21" s="18"/>
      <c r="DI21" s="79">
        <f>DG21*0.5</f>
        <v>28.625</v>
      </c>
      <c r="DJ21" s="75"/>
      <c r="DK21" s="79">
        <f>DJ21*0.5</f>
        <v>0</v>
      </c>
      <c r="DL21" s="81">
        <f>DK21+DI21</f>
        <v>28.625</v>
      </c>
      <c r="DM21" s="18"/>
      <c r="DN21" s="79">
        <f>DG21*0.3</f>
        <v>17.175</v>
      </c>
      <c r="DO21" s="75"/>
      <c r="DP21" s="79">
        <f>DO21*0.7</f>
        <v>0</v>
      </c>
      <c r="DQ21" s="81">
        <f>DP21+DN21</f>
        <v>17.175</v>
      </c>
    </row>
    <row r="22" ht="22.5" customHeight="1">
      <c r="A22" s="31">
        <v>1</v>
      </c>
      <c r="B22" s="106">
        <v>18</v>
      </c>
      <c r="C22" t="s" s="70">
        <v>684</v>
      </c>
      <c r="D22" t="s" s="71">
        <v>186</v>
      </c>
      <c r="E22" t="s" s="72">
        <v>43</v>
      </c>
      <c r="F22" t="s" s="113">
        <v>43</v>
      </c>
      <c r="G22" t="s" s="72">
        <v>161</v>
      </c>
      <c r="H22" t="s" s="113">
        <v>43</v>
      </c>
      <c r="I22" t="s" s="83">
        <v>161</v>
      </c>
      <c r="J22" t="s" s="72">
        <v>43</v>
      </c>
      <c r="K22" t="s" s="309">
        <v>43</v>
      </c>
      <c r="L22" t="s" s="83">
        <v>161</v>
      </c>
      <c r="M22" s="75"/>
      <c r="N22" s="75"/>
      <c r="O22" s="79">
        <v>8</v>
      </c>
      <c r="P22" s="79">
        <v>1</v>
      </c>
      <c r="Q22" s="75"/>
      <c r="R22" s="75"/>
      <c r="S22" s="79">
        <v>7</v>
      </c>
      <c r="T22" s="79">
        <v>8</v>
      </c>
      <c r="U22" s="79">
        <v>7</v>
      </c>
      <c r="V22" s="79">
        <v>8</v>
      </c>
      <c r="W22" s="79">
        <v>15</v>
      </c>
      <c r="X22" s="307">
        <f>P22+Q22+R22+S22+T22+U22+V22+W22+AB22+AC22+O22</f>
        <v>70</v>
      </c>
      <c r="Y22" s="75"/>
      <c r="Z22" s="163">
        <v>4</v>
      </c>
      <c r="AA22" s="165">
        <v>0</v>
      </c>
      <c r="AB22" s="79">
        <v>8</v>
      </c>
      <c r="AC22" s="110">
        <v>8</v>
      </c>
      <c r="AD22" s="110">
        <v>0</v>
      </c>
      <c r="AE22" s="110">
        <v>0</v>
      </c>
      <c r="AF22" s="110">
        <v>0</v>
      </c>
      <c r="AG22" s="110">
        <v>0</v>
      </c>
      <c r="AH22" s="110">
        <v>0</v>
      </c>
      <c r="AI22" s="110">
        <v>20</v>
      </c>
      <c r="AJ22" s="306">
        <f>Z22+AA22+AB22+AC22+AD22+AE22+AF22+AG22+AH22+AI22</f>
        <v>40</v>
      </c>
      <c r="AK22" s="76"/>
      <c r="AL22" s="75"/>
      <c r="AM22" s="76"/>
      <c r="AN22" s="75"/>
      <c r="AO22" s="76"/>
      <c r="AP22" s="78">
        <v>18</v>
      </c>
      <c r="AQ22" s="110">
        <v>10</v>
      </c>
      <c r="AR22" s="79">
        <v>20</v>
      </c>
      <c r="AS22" s="110">
        <v>25</v>
      </c>
      <c r="AT22" s="79">
        <v>0</v>
      </c>
      <c r="AU22" s="79">
        <v>15</v>
      </c>
      <c r="AV22" s="110">
        <v>10</v>
      </c>
      <c r="AW22" s="79">
        <v>5</v>
      </c>
      <c r="AX22" s="110">
        <v>10</v>
      </c>
      <c r="AY22" s="79">
        <f>SUM(AQ22:AX22)</f>
        <v>95</v>
      </c>
      <c r="AZ22" s="18"/>
      <c r="BA22" s="78">
        <v>18</v>
      </c>
      <c r="BB22" s="110">
        <f>AY22+0</f>
        <v>95</v>
      </c>
      <c r="BC22" s="75"/>
      <c r="BD22" s="18"/>
      <c r="BE22" s="110">
        <f>AJ22</f>
        <v>40</v>
      </c>
      <c r="BF22" s="79">
        <v>60</v>
      </c>
      <c r="BG22" s="18"/>
      <c r="BH22" s="110">
        <f>X22</f>
        <v>70</v>
      </c>
      <c r="BI22" s="75"/>
      <c r="BJ22" s="18"/>
      <c r="BK22" s="76"/>
      <c r="BL22" s="75"/>
      <c r="BM22" s="18"/>
      <c r="BN22" s="78">
        <v>18</v>
      </c>
      <c r="BO22" s="110">
        <f>AY22-1</f>
        <v>94</v>
      </c>
      <c r="BP22" s="75"/>
      <c r="BQ22" s="18"/>
      <c r="BR22" s="110">
        <f>AJ22-1</f>
        <v>39</v>
      </c>
      <c r="BS22" s="79">
        <v>60</v>
      </c>
      <c r="BT22" s="18"/>
      <c r="BU22" s="110">
        <f>X22-1</f>
        <v>69</v>
      </c>
      <c r="BV22" s="75"/>
      <c r="BW22" s="18"/>
      <c r="BX22" s="76"/>
      <c r="BY22" s="75"/>
      <c r="BZ22" s="18"/>
      <c r="CA22" s="78">
        <v>18</v>
      </c>
      <c r="CB22" s="110">
        <f>AY22+2</f>
        <v>97</v>
      </c>
      <c r="CC22" s="75"/>
      <c r="CD22" s="18"/>
      <c r="CE22" s="110">
        <f>AJ22+2</f>
        <v>42</v>
      </c>
      <c r="CF22" s="79">
        <v>60</v>
      </c>
      <c r="CG22" s="18"/>
      <c r="CH22" s="110">
        <f>X22+2</f>
        <v>72</v>
      </c>
      <c r="CI22" s="75"/>
      <c r="CJ22" s="18"/>
      <c r="CK22" s="76"/>
      <c r="CL22" s="75"/>
      <c r="CM22" s="18"/>
      <c r="CN22" s="78">
        <v>18</v>
      </c>
      <c r="CO22" s="110">
        <f>AY22-1</f>
        <v>94</v>
      </c>
      <c r="CP22" s="75"/>
      <c r="CQ22" s="18"/>
      <c r="CR22" s="110">
        <f>AJ22+1</f>
        <v>41</v>
      </c>
      <c r="CS22" s="79">
        <v>60</v>
      </c>
      <c r="CT22" s="18"/>
      <c r="CU22" s="110">
        <f>X22+1</f>
        <v>71</v>
      </c>
      <c r="CV22" s="75"/>
      <c r="CW22" s="18"/>
      <c r="CX22" s="76"/>
      <c r="CY22" s="75"/>
      <c r="CZ22" s="18"/>
      <c r="DA22" s="78">
        <v>18</v>
      </c>
      <c r="DB22" s="79">
        <f>(BB22+BE22+BH22+BK22)/4</f>
        <v>51.25</v>
      </c>
      <c r="DC22" s="79">
        <f>(BO22+BR22+BU22+BX22)/4</f>
        <v>50.5</v>
      </c>
      <c r="DD22" s="79">
        <f>(CB22+CE22+CH22+CK22)/4</f>
        <v>52.75</v>
      </c>
      <c r="DE22" s="79">
        <f>(CO22+CR22+CU22+CX22)/4</f>
        <v>51.5</v>
      </c>
      <c r="DF22" s="18"/>
      <c r="DG22" s="80">
        <f>SUM(DB22:DE22)/4</f>
        <v>51.5</v>
      </c>
      <c r="DH22" s="18"/>
      <c r="DI22" s="79">
        <f>DG22*0.5</f>
        <v>25.75</v>
      </c>
      <c r="DJ22" s="75"/>
      <c r="DK22" s="79">
        <f>DJ22*0.5</f>
        <v>0</v>
      </c>
      <c r="DL22" s="81">
        <f>DK22+DI22</f>
        <v>25.75</v>
      </c>
      <c r="DM22" s="18"/>
      <c r="DN22" s="79">
        <f>DG22*0.3</f>
        <v>15.45</v>
      </c>
      <c r="DO22" s="75"/>
      <c r="DP22" s="79">
        <f>DO22*0.7</f>
        <v>0</v>
      </c>
      <c r="DQ22" s="81">
        <f>DP22+DN22</f>
        <v>15.45</v>
      </c>
    </row>
    <row r="23" ht="22.5" customHeight="1">
      <c r="A23" s="31">
        <v>1</v>
      </c>
      <c r="B23" s="106">
        <v>19</v>
      </c>
      <c r="C23" t="s" s="70">
        <v>685</v>
      </c>
      <c r="D23" t="s" s="71">
        <v>686</v>
      </c>
      <c r="E23" t="s" s="72">
        <v>43</v>
      </c>
      <c r="F23" t="s" s="113">
        <v>43</v>
      </c>
      <c r="G23" t="s" s="72">
        <v>161</v>
      </c>
      <c r="H23" t="s" s="113">
        <v>43</v>
      </c>
      <c r="I23" s="75"/>
      <c r="J23" t="s" s="72">
        <v>43</v>
      </c>
      <c r="K23" t="s" s="309">
        <v>161</v>
      </c>
      <c r="L23" s="79">
        <v>7</v>
      </c>
      <c r="M23" s="75"/>
      <c r="N23" s="75"/>
      <c r="O23" s="79">
        <v>10</v>
      </c>
      <c r="P23" s="75"/>
      <c r="Q23" s="75"/>
      <c r="R23" s="75"/>
      <c r="S23" s="79">
        <v>9</v>
      </c>
      <c r="T23" s="79">
        <v>10</v>
      </c>
      <c r="U23" s="79">
        <v>8</v>
      </c>
      <c r="V23" s="79">
        <v>8</v>
      </c>
      <c r="W23" s="79">
        <v>15</v>
      </c>
      <c r="X23" s="307">
        <f>P23+Q23+R23+S23+T23+U23+V23+W23+AB23+AC23+O23</f>
        <v>77</v>
      </c>
      <c r="Y23" s="75"/>
      <c r="Z23" s="163">
        <v>8</v>
      </c>
      <c r="AA23" s="165">
        <v>0</v>
      </c>
      <c r="AB23" s="79">
        <v>9</v>
      </c>
      <c r="AC23" s="110">
        <v>8</v>
      </c>
      <c r="AD23" s="110">
        <v>0</v>
      </c>
      <c r="AE23" s="110">
        <v>10</v>
      </c>
      <c r="AF23" s="110">
        <v>10</v>
      </c>
      <c r="AG23" s="110">
        <v>5</v>
      </c>
      <c r="AH23" s="110">
        <v>4</v>
      </c>
      <c r="AI23" s="110">
        <v>20</v>
      </c>
      <c r="AJ23" s="306">
        <f>Z23+AA23+AB23+AC23+AD23+AE23+AF23+AG23+AH23+AI23</f>
        <v>74</v>
      </c>
      <c r="AK23" s="76"/>
      <c r="AL23" s="75"/>
      <c r="AM23" s="76"/>
      <c r="AN23" s="75"/>
      <c r="AO23" s="76"/>
      <c r="AP23" s="78">
        <v>19</v>
      </c>
      <c r="AQ23" s="123">
        <v>8</v>
      </c>
      <c r="AR23" s="123">
        <v>0</v>
      </c>
      <c r="AS23" s="123">
        <v>25</v>
      </c>
      <c r="AT23" s="123">
        <v>8</v>
      </c>
      <c r="AU23" s="123">
        <v>10</v>
      </c>
      <c r="AV23" s="123">
        <v>8</v>
      </c>
      <c r="AW23" s="124"/>
      <c r="AX23" s="123">
        <v>10</v>
      </c>
      <c r="AY23" s="123">
        <f>SUM(AQ23:AX23)</f>
        <v>69</v>
      </c>
      <c r="AZ23" s="112">
        <v>70</v>
      </c>
      <c r="BA23" s="78">
        <v>19</v>
      </c>
      <c r="BB23" s="110">
        <f>AY23+0</f>
        <v>69</v>
      </c>
      <c r="BC23" s="79">
        <v>70</v>
      </c>
      <c r="BD23" s="18"/>
      <c r="BE23" s="110">
        <f>AJ23</f>
        <v>74</v>
      </c>
      <c r="BF23" s="75"/>
      <c r="BG23" s="18"/>
      <c r="BH23" s="110">
        <f>X23</f>
        <v>77</v>
      </c>
      <c r="BI23" s="75"/>
      <c r="BJ23" s="18"/>
      <c r="BK23" s="76"/>
      <c r="BL23" s="75"/>
      <c r="BM23" s="18"/>
      <c r="BN23" s="78">
        <v>19</v>
      </c>
      <c r="BO23" s="110">
        <f>AY23-1</f>
        <v>68</v>
      </c>
      <c r="BP23" s="79">
        <v>70</v>
      </c>
      <c r="BQ23" s="18"/>
      <c r="BR23" s="110">
        <f>AJ23-1</f>
        <v>73</v>
      </c>
      <c r="BS23" s="75"/>
      <c r="BT23" s="18"/>
      <c r="BU23" s="110">
        <f>X23-1</f>
        <v>76</v>
      </c>
      <c r="BV23" s="75"/>
      <c r="BW23" s="18"/>
      <c r="BX23" s="76"/>
      <c r="BY23" s="75"/>
      <c r="BZ23" s="18"/>
      <c r="CA23" s="78">
        <v>19</v>
      </c>
      <c r="CB23" s="110">
        <f>AY23+2</f>
        <v>71</v>
      </c>
      <c r="CC23" s="75"/>
      <c r="CD23" s="18"/>
      <c r="CE23" s="110">
        <f>AJ23+2</f>
        <v>76</v>
      </c>
      <c r="CF23" s="75"/>
      <c r="CG23" s="18"/>
      <c r="CH23" s="110">
        <f>X23+2</f>
        <v>79</v>
      </c>
      <c r="CI23" s="75"/>
      <c r="CJ23" s="18"/>
      <c r="CK23" s="76"/>
      <c r="CL23" s="75"/>
      <c r="CM23" s="18"/>
      <c r="CN23" s="78">
        <v>19</v>
      </c>
      <c r="CO23" s="110">
        <f>AY23-1</f>
        <v>68</v>
      </c>
      <c r="CP23" s="79">
        <v>70</v>
      </c>
      <c r="CQ23" s="18"/>
      <c r="CR23" s="110">
        <f>AJ23+1</f>
        <v>75</v>
      </c>
      <c r="CS23" s="75"/>
      <c r="CT23" s="18"/>
      <c r="CU23" s="110">
        <f>X23+1</f>
        <v>78</v>
      </c>
      <c r="CV23" s="75"/>
      <c r="CW23" s="18"/>
      <c r="CX23" s="76"/>
      <c r="CY23" s="75"/>
      <c r="CZ23" s="18"/>
      <c r="DA23" s="78">
        <v>19</v>
      </c>
      <c r="DB23" s="79">
        <f>(BB23+BE23+BH23+BK23)/4</f>
        <v>55</v>
      </c>
      <c r="DC23" s="79">
        <f>(BO23+BR23+BU23+BX23)/4</f>
        <v>54.25</v>
      </c>
      <c r="DD23" s="79">
        <f>(CB23+CE23+CH23+CK23)/4</f>
        <v>56.5</v>
      </c>
      <c r="DE23" s="79">
        <f>(CO23+CR23+CU23+CX23)/4</f>
        <v>55.25</v>
      </c>
      <c r="DF23" s="18"/>
      <c r="DG23" s="80">
        <f>SUM(DB23:DE23)/4</f>
        <v>55.25</v>
      </c>
      <c r="DH23" s="18"/>
      <c r="DI23" s="79">
        <f>DG23*0.5</f>
        <v>27.625</v>
      </c>
      <c r="DJ23" s="75"/>
      <c r="DK23" s="79">
        <f>DJ23*0.5</f>
        <v>0</v>
      </c>
      <c r="DL23" s="81">
        <f>DK23+DI23</f>
        <v>27.625</v>
      </c>
      <c r="DM23" s="18"/>
      <c r="DN23" s="79">
        <f>DG23*0.3</f>
        <v>16.575</v>
      </c>
      <c r="DO23" s="75"/>
      <c r="DP23" s="79">
        <f>DO23*0.7</f>
        <v>0</v>
      </c>
      <c r="DQ23" s="81">
        <f>DP23+DN23</f>
        <v>16.575</v>
      </c>
    </row>
    <row r="24" ht="22.5" customHeight="1">
      <c r="A24" s="31">
        <v>1</v>
      </c>
      <c r="B24" s="106">
        <v>20</v>
      </c>
      <c r="C24" t="s" s="70">
        <v>687</v>
      </c>
      <c r="D24" t="s" s="71">
        <v>688</v>
      </c>
      <c r="E24" t="s" s="72">
        <v>43</v>
      </c>
      <c r="F24" t="s" s="113">
        <v>43</v>
      </c>
      <c r="G24" t="s" s="72">
        <v>43</v>
      </c>
      <c r="H24" t="s" s="113">
        <v>43</v>
      </c>
      <c r="I24" t="s" s="83">
        <v>689</v>
      </c>
      <c r="J24" t="s" s="72">
        <v>43</v>
      </c>
      <c r="K24" t="s" s="309">
        <v>43</v>
      </c>
      <c r="L24" s="79">
        <v>8</v>
      </c>
      <c r="M24" s="75"/>
      <c r="N24" s="75"/>
      <c r="O24" s="79">
        <v>10</v>
      </c>
      <c r="P24" s="79">
        <v>18</v>
      </c>
      <c r="Q24" s="79">
        <v>8</v>
      </c>
      <c r="R24" s="79">
        <v>5</v>
      </c>
      <c r="S24" s="79">
        <v>10</v>
      </c>
      <c r="T24" s="79">
        <v>10</v>
      </c>
      <c r="U24" s="79">
        <v>10</v>
      </c>
      <c r="V24" s="79">
        <v>10</v>
      </c>
      <c r="W24" s="79">
        <v>15</v>
      </c>
      <c r="X24" s="307">
        <f>P24+Q24+R24+S24+T24+U24+V24+W24+AB24+AC24+O24</f>
        <v>114</v>
      </c>
      <c r="Y24" s="75"/>
      <c r="Z24" s="163">
        <v>10</v>
      </c>
      <c r="AA24" s="165">
        <v>10</v>
      </c>
      <c r="AB24" s="79">
        <v>9</v>
      </c>
      <c r="AC24" s="110">
        <v>9</v>
      </c>
      <c r="AD24" s="110">
        <v>0</v>
      </c>
      <c r="AE24" s="110">
        <v>10</v>
      </c>
      <c r="AF24" s="110">
        <v>20</v>
      </c>
      <c r="AG24" s="110">
        <v>5</v>
      </c>
      <c r="AH24" s="110">
        <v>5</v>
      </c>
      <c r="AI24" s="110">
        <v>20</v>
      </c>
      <c r="AJ24" s="306">
        <f>Z24+AA24+AB24+AC24+AD24+AE24+AF24+AG24+AH24+AI24</f>
        <v>98</v>
      </c>
      <c r="AK24" s="76"/>
      <c r="AL24" s="75"/>
      <c r="AM24" s="76"/>
      <c r="AN24" s="75"/>
      <c r="AO24" s="76"/>
      <c r="AP24" s="78">
        <v>20</v>
      </c>
      <c r="AQ24" s="110">
        <v>10</v>
      </c>
      <c r="AR24" s="79">
        <v>20</v>
      </c>
      <c r="AS24" s="110">
        <v>25</v>
      </c>
      <c r="AT24" s="79">
        <v>10</v>
      </c>
      <c r="AU24" s="79">
        <v>15</v>
      </c>
      <c r="AV24" s="110">
        <v>10</v>
      </c>
      <c r="AW24" s="79">
        <v>5</v>
      </c>
      <c r="AX24" s="110">
        <v>10</v>
      </c>
      <c r="AY24" s="79">
        <v>100</v>
      </c>
      <c r="AZ24" s="112">
        <v>2</v>
      </c>
      <c r="BA24" s="78">
        <v>20</v>
      </c>
      <c r="BB24" s="110">
        <f>AY24+0</f>
        <v>100</v>
      </c>
      <c r="BC24" s="75"/>
      <c r="BD24" s="18"/>
      <c r="BE24" s="110">
        <f>AJ24</f>
        <v>98</v>
      </c>
      <c r="BF24" s="75"/>
      <c r="BG24" s="18"/>
      <c r="BH24" s="110">
        <v>100</v>
      </c>
      <c r="BI24" s="75"/>
      <c r="BJ24" s="18"/>
      <c r="BK24" s="76"/>
      <c r="BL24" s="75"/>
      <c r="BM24" s="18"/>
      <c r="BN24" s="78">
        <v>20</v>
      </c>
      <c r="BO24" s="110">
        <f>AY24-1</f>
        <v>99</v>
      </c>
      <c r="BP24" s="75"/>
      <c r="BQ24" s="18"/>
      <c r="BR24" s="110">
        <f>AJ24-1</f>
        <v>97</v>
      </c>
      <c r="BS24" s="75"/>
      <c r="BT24" s="18"/>
      <c r="BU24" s="110">
        <v>100</v>
      </c>
      <c r="BV24" s="75"/>
      <c r="BW24" s="18"/>
      <c r="BX24" s="76"/>
      <c r="BY24" s="75"/>
      <c r="BZ24" s="18"/>
      <c r="CA24" s="78">
        <v>20</v>
      </c>
      <c r="CB24" s="110">
        <v>100</v>
      </c>
      <c r="CC24" s="75"/>
      <c r="CD24" s="18"/>
      <c r="CE24" s="110">
        <f>AJ24+2</f>
        <v>100</v>
      </c>
      <c r="CF24" s="75"/>
      <c r="CG24" s="18"/>
      <c r="CH24" s="110">
        <v>100</v>
      </c>
      <c r="CI24" s="75"/>
      <c r="CJ24" s="18"/>
      <c r="CK24" s="76"/>
      <c r="CL24" s="75"/>
      <c r="CM24" s="18"/>
      <c r="CN24" s="78">
        <v>20</v>
      </c>
      <c r="CO24" s="110">
        <f>AY24-1</f>
        <v>99</v>
      </c>
      <c r="CP24" s="75"/>
      <c r="CQ24" s="18"/>
      <c r="CR24" s="110">
        <f>AJ24+1</f>
        <v>99</v>
      </c>
      <c r="CS24" s="75"/>
      <c r="CT24" s="18"/>
      <c r="CU24" s="110">
        <v>100</v>
      </c>
      <c r="CV24" s="75"/>
      <c r="CW24" s="18"/>
      <c r="CX24" s="76"/>
      <c r="CY24" s="75"/>
      <c r="CZ24" s="18"/>
      <c r="DA24" s="78">
        <v>20</v>
      </c>
      <c r="DB24" s="79">
        <f>(BB24+BE24+BH24+BK24)/4</f>
        <v>74.5</v>
      </c>
      <c r="DC24" s="79">
        <f>(BO24+BR24+BU24+BX24)/4</f>
        <v>74</v>
      </c>
      <c r="DD24" s="79">
        <f>(CB24+CE24+CH24+CK24)/4</f>
        <v>75</v>
      </c>
      <c r="DE24" s="79">
        <f>(CO24+CR24+CU24+CX24)/4</f>
        <v>74.5</v>
      </c>
      <c r="DF24" s="18"/>
      <c r="DG24" s="80">
        <f>SUM(DB24:DE24)/4</f>
        <v>74.5</v>
      </c>
      <c r="DH24" s="18"/>
      <c r="DI24" s="79">
        <f>DG24*0.5</f>
        <v>37.25</v>
      </c>
      <c r="DJ24" s="75"/>
      <c r="DK24" s="79">
        <f>DJ24*0.5</f>
        <v>0</v>
      </c>
      <c r="DL24" s="81">
        <f>DK24+DI24</f>
        <v>37.25</v>
      </c>
      <c r="DM24" s="18"/>
      <c r="DN24" s="79">
        <f>DG24*0.3</f>
        <v>22.35</v>
      </c>
      <c r="DO24" s="75"/>
      <c r="DP24" s="79">
        <f>DO24*0.7</f>
        <v>0</v>
      </c>
      <c r="DQ24" s="81">
        <f>DP24+DN24</f>
        <v>22.35</v>
      </c>
    </row>
    <row r="25" ht="22.5" customHeight="1">
      <c r="A25" s="31">
        <v>1</v>
      </c>
      <c r="B25" s="106">
        <v>21</v>
      </c>
      <c r="C25" t="s" s="70">
        <v>690</v>
      </c>
      <c r="D25" t="s" s="71">
        <v>691</v>
      </c>
      <c r="E25" t="s" s="72">
        <v>43</v>
      </c>
      <c r="F25" t="s" s="113">
        <v>43</v>
      </c>
      <c r="G25" t="s" s="72">
        <v>43</v>
      </c>
      <c r="H25" t="s" s="113">
        <v>43</v>
      </c>
      <c r="I25" s="75"/>
      <c r="J25" t="s" s="232">
        <v>43</v>
      </c>
      <c r="K25" t="s" s="309">
        <v>43</v>
      </c>
      <c r="L25" s="79">
        <v>7</v>
      </c>
      <c r="M25" s="75"/>
      <c r="N25" s="75"/>
      <c r="O25" s="79">
        <v>10</v>
      </c>
      <c r="P25" s="79">
        <v>10</v>
      </c>
      <c r="Q25" s="75"/>
      <c r="R25" s="79">
        <v>0</v>
      </c>
      <c r="S25" s="79">
        <v>10</v>
      </c>
      <c r="T25" s="79">
        <v>10</v>
      </c>
      <c r="U25" s="79">
        <v>9</v>
      </c>
      <c r="V25" s="79">
        <v>7</v>
      </c>
      <c r="W25" s="79">
        <v>15</v>
      </c>
      <c r="X25" s="307">
        <f>P25+Q25+R25+S25+T25+U25+V25+W25+AB25+AC25+O25</f>
        <v>89</v>
      </c>
      <c r="Y25" t="s" s="83">
        <v>692</v>
      </c>
      <c r="Z25" s="163">
        <v>10</v>
      </c>
      <c r="AA25" s="165">
        <v>0</v>
      </c>
      <c r="AB25" s="79">
        <v>9</v>
      </c>
      <c r="AC25" s="110">
        <v>9</v>
      </c>
      <c r="AD25" s="110">
        <v>5</v>
      </c>
      <c r="AE25" s="110">
        <v>8</v>
      </c>
      <c r="AF25" s="110">
        <v>12</v>
      </c>
      <c r="AG25" s="110">
        <v>5</v>
      </c>
      <c r="AH25" s="110">
        <v>0</v>
      </c>
      <c r="AI25" s="110">
        <v>20</v>
      </c>
      <c r="AJ25" s="306">
        <f>Z25+AA25+AB25+AC25+AD25+AE25+AF25+AG25+AH25+AI25</f>
        <v>78</v>
      </c>
      <c r="AK25" s="76"/>
      <c r="AL25" s="75"/>
      <c r="AM25" s="76"/>
      <c r="AN25" s="75"/>
      <c r="AO25" s="76"/>
      <c r="AP25" s="78">
        <v>21</v>
      </c>
      <c r="AQ25" s="110">
        <v>10</v>
      </c>
      <c r="AR25" s="79">
        <v>20</v>
      </c>
      <c r="AS25" s="110">
        <v>25</v>
      </c>
      <c r="AT25" s="79">
        <v>10</v>
      </c>
      <c r="AU25" s="79">
        <v>10</v>
      </c>
      <c r="AV25" s="110">
        <v>10</v>
      </c>
      <c r="AW25" s="79">
        <v>10</v>
      </c>
      <c r="AX25" s="110">
        <v>10</v>
      </c>
      <c r="AY25" s="79">
        <v>100</v>
      </c>
      <c r="AZ25" s="112">
        <v>2</v>
      </c>
      <c r="BA25" s="78">
        <v>21</v>
      </c>
      <c r="BB25" s="110">
        <f>AY25+0</f>
        <v>100</v>
      </c>
      <c r="BC25" s="75"/>
      <c r="BD25" s="18"/>
      <c r="BE25" s="110">
        <f>AJ25</f>
        <v>78</v>
      </c>
      <c r="BF25" s="75"/>
      <c r="BG25" s="18"/>
      <c r="BH25" s="110">
        <f>X25</f>
        <v>89</v>
      </c>
      <c r="BI25" s="75"/>
      <c r="BJ25" s="18"/>
      <c r="BK25" s="76"/>
      <c r="BL25" s="75"/>
      <c r="BM25" s="18"/>
      <c r="BN25" s="78">
        <v>21</v>
      </c>
      <c r="BO25" s="110">
        <f>AY25-1</f>
        <v>99</v>
      </c>
      <c r="BP25" s="75"/>
      <c r="BQ25" s="18"/>
      <c r="BR25" s="110">
        <f>AJ25-1</f>
        <v>77</v>
      </c>
      <c r="BS25" s="75"/>
      <c r="BT25" s="18"/>
      <c r="BU25" s="110">
        <f>X25-1</f>
        <v>88</v>
      </c>
      <c r="BV25" s="75"/>
      <c r="BW25" s="18"/>
      <c r="BX25" s="76"/>
      <c r="BY25" s="75"/>
      <c r="BZ25" s="18"/>
      <c r="CA25" s="78">
        <v>21</v>
      </c>
      <c r="CB25" s="110">
        <v>100</v>
      </c>
      <c r="CC25" s="75"/>
      <c r="CD25" s="18"/>
      <c r="CE25" s="110">
        <f>AJ25+2</f>
        <v>80</v>
      </c>
      <c r="CF25" s="75"/>
      <c r="CG25" s="18"/>
      <c r="CH25" s="110">
        <f>X25+2</f>
        <v>91</v>
      </c>
      <c r="CI25" s="75"/>
      <c r="CJ25" s="18"/>
      <c r="CK25" s="76"/>
      <c r="CL25" s="75"/>
      <c r="CM25" s="18"/>
      <c r="CN25" s="78">
        <v>21</v>
      </c>
      <c r="CO25" s="110">
        <f>AY25-1</f>
        <v>99</v>
      </c>
      <c r="CP25" s="75"/>
      <c r="CQ25" s="18"/>
      <c r="CR25" s="110">
        <f>AJ25+1</f>
        <v>79</v>
      </c>
      <c r="CS25" s="75"/>
      <c r="CT25" s="18"/>
      <c r="CU25" s="110">
        <f>X25+1</f>
        <v>90</v>
      </c>
      <c r="CV25" s="75"/>
      <c r="CW25" s="18"/>
      <c r="CX25" s="76"/>
      <c r="CY25" s="75"/>
      <c r="CZ25" s="18"/>
      <c r="DA25" s="78">
        <v>21</v>
      </c>
      <c r="DB25" s="79">
        <f>(BB25+BE25+BH25+BK25)/4</f>
        <v>66.75</v>
      </c>
      <c r="DC25" s="79">
        <f>(BO25+BR25+BU25+BX25)/4</f>
        <v>66</v>
      </c>
      <c r="DD25" s="79">
        <f>(CB25+CE25+CH25+CK25)/4</f>
        <v>67.75</v>
      </c>
      <c r="DE25" s="79">
        <f>(CO25+CR25+CU25+CX25)/4</f>
        <v>67</v>
      </c>
      <c r="DF25" s="18"/>
      <c r="DG25" s="80">
        <f>SUM(DB25:DE25)/4</f>
        <v>66.875</v>
      </c>
      <c r="DH25" s="18"/>
      <c r="DI25" s="79">
        <f>DG25*0.5</f>
        <v>33.4375</v>
      </c>
      <c r="DJ25" s="75"/>
      <c r="DK25" s="79">
        <f>DJ25*0.5</f>
        <v>0</v>
      </c>
      <c r="DL25" s="81">
        <f>DK25+DI25</f>
        <v>33.4375</v>
      </c>
      <c r="DM25" s="18"/>
      <c r="DN25" s="79">
        <f>DG25*0.3</f>
        <v>20.0625</v>
      </c>
      <c r="DO25" s="75"/>
      <c r="DP25" s="79">
        <f>DO25*0.7</f>
        <v>0</v>
      </c>
      <c r="DQ25" s="81">
        <f>DP25+DN25</f>
        <v>20.0625</v>
      </c>
    </row>
    <row r="26" ht="22.5" customHeight="1">
      <c r="A26" s="31">
        <v>1</v>
      </c>
      <c r="B26" s="106">
        <v>22</v>
      </c>
      <c r="C26" t="s" s="70">
        <v>693</v>
      </c>
      <c r="D26" t="s" s="71">
        <v>694</v>
      </c>
      <c r="E26" t="s" s="72">
        <v>43</v>
      </c>
      <c r="F26" t="s" s="113">
        <v>43</v>
      </c>
      <c r="G26" t="s" s="72">
        <v>43</v>
      </c>
      <c r="H26" t="s" s="113">
        <v>43</v>
      </c>
      <c r="I26" s="75"/>
      <c r="J26" t="s" s="232">
        <v>43</v>
      </c>
      <c r="K26" t="s" s="309">
        <v>43</v>
      </c>
      <c r="L26" s="79">
        <v>0</v>
      </c>
      <c r="M26" s="75"/>
      <c r="N26" s="75"/>
      <c r="O26" s="79">
        <v>10</v>
      </c>
      <c r="P26" s="79">
        <v>20</v>
      </c>
      <c r="Q26" s="79">
        <v>10</v>
      </c>
      <c r="R26" s="79">
        <v>0</v>
      </c>
      <c r="S26" s="79">
        <v>9</v>
      </c>
      <c r="T26" s="79">
        <v>10</v>
      </c>
      <c r="U26" s="79">
        <v>10</v>
      </c>
      <c r="V26" s="79">
        <v>7</v>
      </c>
      <c r="W26" s="79">
        <v>15</v>
      </c>
      <c r="X26" s="307">
        <f>P26+Q26+R26+S26+T26+U26+V26+W26+AB26+AC26+O26</f>
        <v>111</v>
      </c>
      <c r="Y26" s="75"/>
      <c r="Z26" s="163">
        <v>10</v>
      </c>
      <c r="AA26" s="165">
        <v>10</v>
      </c>
      <c r="AB26" s="79">
        <v>10</v>
      </c>
      <c r="AC26" s="110">
        <v>10</v>
      </c>
      <c r="AD26" s="110">
        <v>12</v>
      </c>
      <c r="AE26" s="110">
        <v>10</v>
      </c>
      <c r="AF26" s="110">
        <v>15</v>
      </c>
      <c r="AG26" s="110">
        <v>5</v>
      </c>
      <c r="AH26" s="110">
        <v>0</v>
      </c>
      <c r="AI26" s="110">
        <v>20</v>
      </c>
      <c r="AJ26" s="306">
        <f>Z26+AA26+AB26+AC26+AD26+AE26+AF26+AG26+AH26+AI26</f>
        <v>102</v>
      </c>
      <c r="AK26" s="76"/>
      <c r="AL26" s="75"/>
      <c r="AM26" s="76"/>
      <c r="AN26" s="75"/>
      <c r="AO26" s="76"/>
      <c r="AP26" s="78">
        <v>22</v>
      </c>
      <c r="AQ26" s="110">
        <v>10</v>
      </c>
      <c r="AR26" s="79">
        <v>18</v>
      </c>
      <c r="AS26" s="110">
        <v>25</v>
      </c>
      <c r="AT26" s="79">
        <v>10</v>
      </c>
      <c r="AU26" s="79">
        <v>5</v>
      </c>
      <c r="AV26" s="110">
        <v>10</v>
      </c>
      <c r="AW26" s="79">
        <v>2</v>
      </c>
      <c r="AX26" s="110">
        <v>10</v>
      </c>
      <c r="AY26" s="79">
        <f>SUM(AQ26:AX26)</f>
        <v>90</v>
      </c>
      <c r="AZ26" s="18"/>
      <c r="BA26" s="78">
        <v>22</v>
      </c>
      <c r="BB26" s="110">
        <f>AY26+0</f>
        <v>90</v>
      </c>
      <c r="BC26" s="75"/>
      <c r="BD26" s="18"/>
      <c r="BE26" s="110">
        <f>AJ26</f>
        <v>102</v>
      </c>
      <c r="BF26" s="75"/>
      <c r="BG26" s="18"/>
      <c r="BH26" s="110">
        <v>100</v>
      </c>
      <c r="BI26" s="75"/>
      <c r="BJ26" s="18"/>
      <c r="BK26" s="76"/>
      <c r="BL26" s="75"/>
      <c r="BM26" s="18"/>
      <c r="BN26" s="78">
        <v>22</v>
      </c>
      <c r="BO26" s="110">
        <f>AY26-1</f>
        <v>89</v>
      </c>
      <c r="BP26" s="75"/>
      <c r="BQ26" s="18"/>
      <c r="BR26" s="110">
        <v>100</v>
      </c>
      <c r="BS26" s="75"/>
      <c r="BT26" s="18"/>
      <c r="BU26" s="110">
        <v>100</v>
      </c>
      <c r="BV26" s="75"/>
      <c r="BW26" s="18"/>
      <c r="BX26" s="76"/>
      <c r="BY26" s="75"/>
      <c r="BZ26" s="18"/>
      <c r="CA26" s="78">
        <v>22</v>
      </c>
      <c r="CB26" s="110">
        <f>AY26+2</f>
        <v>92</v>
      </c>
      <c r="CC26" s="75"/>
      <c r="CD26" s="18"/>
      <c r="CE26" s="110">
        <f>AJ26+2</f>
        <v>104</v>
      </c>
      <c r="CF26" s="75"/>
      <c r="CG26" s="18"/>
      <c r="CH26" s="110">
        <v>100</v>
      </c>
      <c r="CI26" s="75"/>
      <c r="CJ26" s="18"/>
      <c r="CK26" s="76"/>
      <c r="CL26" s="75"/>
      <c r="CM26" s="18"/>
      <c r="CN26" s="78">
        <v>22</v>
      </c>
      <c r="CO26" s="110">
        <f>AY26-1</f>
        <v>89</v>
      </c>
      <c r="CP26" s="75"/>
      <c r="CQ26" s="18"/>
      <c r="CR26" s="110">
        <f>AJ26+1</f>
        <v>103</v>
      </c>
      <c r="CS26" s="75"/>
      <c r="CT26" s="18"/>
      <c r="CU26" s="110">
        <v>100</v>
      </c>
      <c r="CV26" s="75"/>
      <c r="CW26" s="18"/>
      <c r="CX26" s="76"/>
      <c r="CY26" s="75"/>
      <c r="CZ26" s="18"/>
      <c r="DA26" s="78">
        <v>22</v>
      </c>
      <c r="DB26" s="79">
        <f>(BB26+BE26+BH26+BK26)/4</f>
        <v>73</v>
      </c>
      <c r="DC26" s="79">
        <f>(BO26+BR26+BU26+BX26)/4</f>
        <v>72.25</v>
      </c>
      <c r="DD26" s="79">
        <f>(CB26+CE26+CH26+CK26)/4</f>
        <v>74</v>
      </c>
      <c r="DE26" s="79">
        <f>(CO26+CR26+CU26+CX26)/4</f>
        <v>73</v>
      </c>
      <c r="DF26" s="18"/>
      <c r="DG26" s="80">
        <f>SUM(DB26:DE26)/4</f>
        <v>73.0625</v>
      </c>
      <c r="DH26" s="18"/>
      <c r="DI26" s="79">
        <f>DG26*0.5</f>
        <v>36.53125</v>
      </c>
      <c r="DJ26" s="75"/>
      <c r="DK26" s="79">
        <f>DJ26*0.5</f>
        <v>0</v>
      </c>
      <c r="DL26" s="81">
        <f>DK26+DI26</f>
        <v>36.53125</v>
      </c>
      <c r="DM26" s="18"/>
      <c r="DN26" s="79">
        <f>DG26*0.3</f>
        <v>21.91875</v>
      </c>
      <c r="DO26" s="75"/>
      <c r="DP26" s="79">
        <f>DO26*0.7</f>
        <v>0</v>
      </c>
      <c r="DQ26" s="81">
        <f>DP26+DN26</f>
        <v>21.91875</v>
      </c>
    </row>
    <row r="27" ht="22.5" customHeight="1">
      <c r="A27" s="105"/>
      <c r="B27" s="106">
        <v>23</v>
      </c>
      <c r="C27" t="s" s="70">
        <v>695</v>
      </c>
      <c r="D27" t="s" s="71">
        <v>696</v>
      </c>
      <c r="E27" t="s" s="72">
        <v>43</v>
      </c>
      <c r="F27" t="s" s="113">
        <v>43</v>
      </c>
      <c r="G27" t="s" s="72">
        <v>697</v>
      </c>
      <c r="H27" t="s" s="113">
        <v>43</v>
      </c>
      <c r="I27" s="75"/>
      <c r="J27" t="s" s="232">
        <v>43</v>
      </c>
      <c r="K27" t="s" s="309">
        <v>43</v>
      </c>
      <c r="L27" s="79">
        <v>8</v>
      </c>
      <c r="M27" s="75"/>
      <c r="N27" s="75"/>
      <c r="O27" s="79">
        <v>10</v>
      </c>
      <c r="P27" s="75"/>
      <c r="Q27" s="75"/>
      <c r="R27" s="79">
        <v>4</v>
      </c>
      <c r="S27" s="79">
        <v>8</v>
      </c>
      <c r="T27" s="79">
        <v>9</v>
      </c>
      <c r="U27" s="79">
        <v>8</v>
      </c>
      <c r="V27" s="163">
        <v>8</v>
      </c>
      <c r="W27" s="166">
        <v>15</v>
      </c>
      <c r="X27" s="307">
        <f>P27+Q27+R27+S27+T27+U27+V27+W27+AB27+AC27+O27</f>
        <v>79</v>
      </c>
      <c r="Y27" s="75"/>
      <c r="Z27" s="163">
        <v>10</v>
      </c>
      <c r="AA27" s="165">
        <v>0</v>
      </c>
      <c r="AB27" s="79">
        <v>8</v>
      </c>
      <c r="AC27" s="110">
        <v>9</v>
      </c>
      <c r="AD27" s="110">
        <v>0</v>
      </c>
      <c r="AE27" s="110">
        <v>0</v>
      </c>
      <c r="AF27" s="110">
        <v>0</v>
      </c>
      <c r="AG27" s="110">
        <v>0</v>
      </c>
      <c r="AH27" s="110">
        <v>0</v>
      </c>
      <c r="AI27" s="110">
        <v>20</v>
      </c>
      <c r="AJ27" s="306">
        <f>Z27+AA27+AB27+AC27+AD27+AE27+AF27+AG27+AH27+AI27</f>
        <v>47</v>
      </c>
      <c r="AK27" s="76"/>
      <c r="AL27" s="75"/>
      <c r="AM27" s="76"/>
      <c r="AN27" s="75"/>
      <c r="AO27" s="76"/>
      <c r="AP27" s="78">
        <v>23</v>
      </c>
      <c r="AQ27" s="110">
        <v>10</v>
      </c>
      <c r="AR27" s="79">
        <v>20</v>
      </c>
      <c r="AS27" s="110">
        <v>25</v>
      </c>
      <c r="AT27" s="79">
        <v>0</v>
      </c>
      <c r="AU27" s="79">
        <v>15</v>
      </c>
      <c r="AV27" s="110">
        <v>10</v>
      </c>
      <c r="AW27" s="79">
        <v>8</v>
      </c>
      <c r="AX27" s="110">
        <v>10</v>
      </c>
      <c r="AY27" s="79">
        <f>SUM(AQ27:AX27)</f>
        <v>98</v>
      </c>
      <c r="AZ27" s="18"/>
      <c r="BA27" s="78">
        <v>23</v>
      </c>
      <c r="BB27" s="110">
        <f>AY27+0</f>
        <v>98</v>
      </c>
      <c r="BC27" s="75"/>
      <c r="BD27" s="18"/>
      <c r="BE27" s="110">
        <f>AJ27</f>
        <v>47</v>
      </c>
      <c r="BF27" s="79">
        <v>74</v>
      </c>
      <c r="BG27" s="18"/>
      <c r="BH27" s="110">
        <f>X27</f>
        <v>79</v>
      </c>
      <c r="BI27" s="75"/>
      <c r="BJ27" s="18"/>
      <c r="BK27" s="76"/>
      <c r="BL27" s="75"/>
      <c r="BM27" s="18"/>
      <c r="BN27" s="78">
        <v>23</v>
      </c>
      <c r="BO27" s="110">
        <f>AY27-1</f>
        <v>97</v>
      </c>
      <c r="BP27" s="75"/>
      <c r="BQ27" s="18"/>
      <c r="BR27" s="110">
        <f>AJ27-1</f>
        <v>46</v>
      </c>
      <c r="BS27" s="79">
        <v>74</v>
      </c>
      <c r="BT27" s="18"/>
      <c r="BU27" s="110">
        <f>X27-1</f>
        <v>78</v>
      </c>
      <c r="BV27" s="75"/>
      <c r="BW27" s="18"/>
      <c r="BX27" s="76"/>
      <c r="BY27" s="75"/>
      <c r="BZ27" s="18"/>
      <c r="CA27" s="78">
        <v>23</v>
      </c>
      <c r="CB27" s="110">
        <f>AY27+2</f>
        <v>100</v>
      </c>
      <c r="CC27" s="75"/>
      <c r="CD27" s="18"/>
      <c r="CE27" s="110">
        <f>AJ27+2</f>
        <v>49</v>
      </c>
      <c r="CF27" s="79">
        <v>74</v>
      </c>
      <c r="CG27" s="18"/>
      <c r="CH27" s="110">
        <f>X27+2</f>
        <v>81</v>
      </c>
      <c r="CI27" s="75"/>
      <c r="CJ27" s="18"/>
      <c r="CK27" s="76"/>
      <c r="CL27" s="75"/>
      <c r="CM27" s="18"/>
      <c r="CN27" s="78">
        <v>23</v>
      </c>
      <c r="CO27" s="110">
        <f>AY27-1</f>
        <v>97</v>
      </c>
      <c r="CP27" s="75"/>
      <c r="CQ27" s="18"/>
      <c r="CR27" s="110">
        <f>AJ27+1</f>
        <v>48</v>
      </c>
      <c r="CS27" s="79">
        <v>74</v>
      </c>
      <c r="CT27" s="18"/>
      <c r="CU27" s="110">
        <f>X27+1</f>
        <v>80</v>
      </c>
      <c r="CV27" s="75"/>
      <c r="CW27" s="18"/>
      <c r="CX27" s="76"/>
      <c r="CY27" s="75"/>
      <c r="CZ27" s="18"/>
      <c r="DA27" s="78">
        <v>23</v>
      </c>
      <c r="DB27" s="79">
        <f>(BB27+BE27+BH27+BK27)/4</f>
        <v>56</v>
      </c>
      <c r="DC27" s="79">
        <f>(BO27+BR27+BU27+BX27)/4</f>
        <v>55.25</v>
      </c>
      <c r="DD27" s="79">
        <f>(CB27+CE27+CH27+CK27)/4</f>
        <v>57.5</v>
      </c>
      <c r="DE27" s="79">
        <f>(CO27+CR27+CU27+CX27)/4</f>
        <v>56.25</v>
      </c>
      <c r="DF27" s="18"/>
      <c r="DG27" s="80">
        <f>SUM(DB27:DE27)/4</f>
        <v>56.25</v>
      </c>
      <c r="DH27" s="18"/>
      <c r="DI27" s="79">
        <f>DG27*0.5</f>
        <v>28.125</v>
      </c>
      <c r="DJ27" s="75"/>
      <c r="DK27" s="79">
        <f>DJ27*0.5</f>
        <v>0</v>
      </c>
      <c r="DL27" s="81">
        <f>DK27+DI27</f>
        <v>28.125</v>
      </c>
      <c r="DM27" s="18"/>
      <c r="DN27" s="79">
        <f>DG27*0.3</f>
        <v>16.875</v>
      </c>
      <c r="DO27" s="75"/>
      <c r="DP27" s="79">
        <f>DO27*0.7</f>
        <v>0</v>
      </c>
      <c r="DQ27" s="81">
        <f>DP27+DN27</f>
        <v>16.875</v>
      </c>
    </row>
    <row r="28" ht="22.5" customHeight="1">
      <c r="A28" s="144"/>
      <c r="B28" s="310">
        <v>24</v>
      </c>
      <c r="C28" t="s" s="311">
        <v>360</v>
      </c>
      <c r="D28" t="s" s="262">
        <v>698</v>
      </c>
      <c r="E28" t="s" s="72">
        <v>699</v>
      </c>
      <c r="F28" t="s" s="253">
        <v>43</v>
      </c>
      <c r="G28" t="s" s="72">
        <v>43</v>
      </c>
      <c r="H28" t="s" s="253">
        <v>43</v>
      </c>
      <c r="I28" s="75"/>
      <c r="J28" t="s" s="232">
        <v>43</v>
      </c>
      <c r="K28" t="s" s="309">
        <v>163</v>
      </c>
      <c r="L28" s="79">
        <v>6</v>
      </c>
      <c r="M28" s="75"/>
      <c r="N28" s="75"/>
      <c r="O28" s="79">
        <v>10</v>
      </c>
      <c r="P28" s="75"/>
      <c r="Q28" s="75"/>
      <c r="R28" s="75"/>
      <c r="S28" s="79">
        <v>9</v>
      </c>
      <c r="T28" s="79">
        <v>8</v>
      </c>
      <c r="U28" s="79">
        <v>9</v>
      </c>
      <c r="V28" s="79">
        <v>8</v>
      </c>
      <c r="W28" s="79">
        <v>15</v>
      </c>
      <c r="X28" s="307">
        <f>P28+Q28+R28+S28+T28+U28+V28+W28+AB28+AC28+O28</f>
        <v>77</v>
      </c>
      <c r="Y28" s="75"/>
      <c r="Z28" s="163">
        <v>10</v>
      </c>
      <c r="AA28" s="312">
        <v>0</v>
      </c>
      <c r="AB28" s="79">
        <v>9</v>
      </c>
      <c r="AC28" s="110">
        <v>9</v>
      </c>
      <c r="AD28" s="110">
        <v>5</v>
      </c>
      <c r="AE28" s="110">
        <v>0</v>
      </c>
      <c r="AF28" s="110">
        <v>0</v>
      </c>
      <c r="AG28" s="110">
        <v>0</v>
      </c>
      <c r="AH28" s="110">
        <v>0</v>
      </c>
      <c r="AI28" s="110">
        <v>20</v>
      </c>
      <c r="AJ28" s="306">
        <f>Z28+AA28+AB28+AC28+AD28+AE28+AF28+AG28+AH28+AI28</f>
        <v>53</v>
      </c>
      <c r="AK28" s="76"/>
      <c r="AL28" s="75"/>
      <c r="AM28" s="76"/>
      <c r="AN28" s="75"/>
      <c r="AO28" s="76"/>
      <c r="AP28" s="78">
        <v>24</v>
      </c>
      <c r="AQ28" s="110">
        <v>10</v>
      </c>
      <c r="AR28" s="79">
        <v>18</v>
      </c>
      <c r="AS28" s="110">
        <v>25</v>
      </c>
      <c r="AT28" s="79">
        <v>9</v>
      </c>
      <c r="AU28" s="79">
        <v>12</v>
      </c>
      <c r="AV28" s="110">
        <v>10</v>
      </c>
      <c r="AW28" s="79">
        <v>5</v>
      </c>
      <c r="AX28" s="110">
        <v>10</v>
      </c>
      <c r="AY28" s="79">
        <f>SUM(AQ28:AX28)</f>
        <v>99</v>
      </c>
      <c r="AZ28" s="18"/>
      <c r="BA28" s="78">
        <v>24</v>
      </c>
      <c r="BB28" s="110">
        <f>AY28+0</f>
        <v>99</v>
      </c>
      <c r="BC28" s="75"/>
      <c r="BD28" s="18"/>
      <c r="BE28" s="110">
        <f>AJ28</f>
        <v>53</v>
      </c>
      <c r="BF28" s="79">
        <v>74</v>
      </c>
      <c r="BG28" s="18"/>
      <c r="BH28" s="110">
        <f>X28</f>
        <v>77</v>
      </c>
      <c r="BI28" s="75"/>
      <c r="BJ28" s="18"/>
      <c r="BK28" s="76"/>
      <c r="BL28" s="75"/>
      <c r="BM28" s="18"/>
      <c r="BN28" s="78">
        <v>24</v>
      </c>
      <c r="BO28" s="110">
        <f>AY28-1</f>
        <v>98</v>
      </c>
      <c r="BP28" s="75"/>
      <c r="BQ28" s="18"/>
      <c r="BR28" s="110">
        <f>AJ28-1</f>
        <v>52</v>
      </c>
      <c r="BS28" s="79">
        <v>74</v>
      </c>
      <c r="BT28" s="18"/>
      <c r="BU28" s="110">
        <f>X28-1</f>
        <v>76</v>
      </c>
      <c r="BV28" s="75"/>
      <c r="BW28" s="18"/>
      <c r="BX28" s="76"/>
      <c r="BY28" s="75"/>
      <c r="BZ28" s="18"/>
      <c r="CA28" s="78">
        <v>24</v>
      </c>
      <c r="CB28" s="110">
        <v>100</v>
      </c>
      <c r="CC28" s="75"/>
      <c r="CD28" s="18"/>
      <c r="CE28" s="110">
        <f>AJ28+2</f>
        <v>55</v>
      </c>
      <c r="CF28" s="79">
        <v>74</v>
      </c>
      <c r="CG28" s="18"/>
      <c r="CH28" s="110">
        <f>X28+2</f>
        <v>79</v>
      </c>
      <c r="CI28" s="75"/>
      <c r="CJ28" s="18"/>
      <c r="CK28" s="76"/>
      <c r="CL28" s="75"/>
      <c r="CM28" s="18"/>
      <c r="CN28" s="78">
        <v>24</v>
      </c>
      <c r="CO28" s="110">
        <f>AY28-1</f>
        <v>98</v>
      </c>
      <c r="CP28" s="75"/>
      <c r="CQ28" s="18"/>
      <c r="CR28" s="110">
        <f>AJ28+1</f>
        <v>54</v>
      </c>
      <c r="CS28" s="79">
        <v>74</v>
      </c>
      <c r="CT28" s="18"/>
      <c r="CU28" s="110">
        <f>X28+1</f>
        <v>78</v>
      </c>
      <c r="CV28" s="75"/>
      <c r="CW28" s="18"/>
      <c r="CX28" s="76"/>
      <c r="CY28" s="75"/>
      <c r="CZ28" s="18"/>
      <c r="DA28" s="78">
        <v>24</v>
      </c>
      <c r="DB28" s="79">
        <f>(BB28+BE28+BH28+BK28)/4</f>
        <v>57.25</v>
      </c>
      <c r="DC28" s="79">
        <f>(BO28+BR28+BU28+BX28)/4</f>
        <v>56.5</v>
      </c>
      <c r="DD28" s="79">
        <f>(CB28+CE28+CH28+CK28)/4</f>
        <v>58.5</v>
      </c>
      <c r="DE28" s="79">
        <f>(CO28+CR28+CU28+CX28)/4</f>
        <v>57.5</v>
      </c>
      <c r="DF28" s="18"/>
      <c r="DG28" s="80">
        <f>SUM(DB28:DE28)/4</f>
        <v>57.4375</v>
      </c>
      <c r="DH28" s="18"/>
      <c r="DI28" s="79">
        <f>DG28*0.5</f>
        <v>28.71875</v>
      </c>
      <c r="DJ28" s="75"/>
      <c r="DK28" s="79">
        <f>DJ28*0.5</f>
        <v>0</v>
      </c>
      <c r="DL28" s="81">
        <f>DK28+DI28</f>
        <v>28.71875</v>
      </c>
      <c r="DM28" s="18"/>
      <c r="DN28" s="79">
        <f>DG28*0.3</f>
        <v>17.23125</v>
      </c>
      <c r="DO28" s="75"/>
      <c r="DP28" s="79">
        <f>DO28*0.7</f>
        <v>0</v>
      </c>
      <c r="DQ28" s="81">
        <f>DP28+DN28</f>
        <v>17.23125</v>
      </c>
    </row>
    <row r="29" ht="15" customHeight="1">
      <c r="A29" s="313"/>
      <c r="B29" s="79">
        <v>25</v>
      </c>
      <c r="C29" s="75"/>
      <c r="D29" s="75"/>
      <c r="E29" s="75"/>
      <c r="F29" t="s" s="83">
        <v>43</v>
      </c>
      <c r="G29" t="s" s="83">
        <v>43</v>
      </c>
      <c r="H29" t="s" s="83">
        <v>43</v>
      </c>
      <c r="I29" s="75"/>
      <c r="J29" t="s" s="232">
        <v>43</v>
      </c>
      <c r="K29" t="s" s="309">
        <v>43</v>
      </c>
      <c r="L29" s="79">
        <v>8</v>
      </c>
      <c r="M29" s="75"/>
      <c r="N29" s="75"/>
      <c r="O29" s="79">
        <v>10</v>
      </c>
      <c r="P29" s="79">
        <v>10</v>
      </c>
      <c r="Q29" s="79">
        <v>5</v>
      </c>
      <c r="R29" s="75"/>
      <c r="S29" s="79">
        <v>7</v>
      </c>
      <c r="T29" s="79">
        <v>8</v>
      </c>
      <c r="U29" s="79">
        <v>7</v>
      </c>
      <c r="V29" s="163">
        <v>8</v>
      </c>
      <c r="W29" s="166">
        <v>15</v>
      </c>
      <c r="X29" s="307">
        <f>P29+Q29+R29+S29+T29+U29+V29+W29+AB29+AC29+O29</f>
        <v>88</v>
      </c>
      <c r="Y29" s="75"/>
      <c r="Z29" s="79">
        <v>10</v>
      </c>
      <c r="AA29" s="79">
        <v>0</v>
      </c>
      <c r="AB29" s="79">
        <v>9</v>
      </c>
      <c r="AC29" s="79">
        <v>9</v>
      </c>
      <c r="AD29" s="79">
        <v>8</v>
      </c>
      <c r="AE29" s="79">
        <v>7</v>
      </c>
      <c r="AF29" s="79">
        <v>14</v>
      </c>
      <c r="AG29" s="79">
        <v>5</v>
      </c>
      <c r="AH29" s="79">
        <v>0</v>
      </c>
      <c r="AI29" s="110">
        <v>20</v>
      </c>
      <c r="AJ29" s="306">
        <f>Z29+AA29+AB29+AC29+AD29+AE29+AF29+AG29+AH29+AI29</f>
        <v>82</v>
      </c>
      <c r="AK29" s="75"/>
      <c r="AL29" s="75"/>
      <c r="AM29" s="75"/>
      <c r="AN29" s="75"/>
      <c r="AO29" s="75"/>
      <c r="AP29" s="79">
        <v>25</v>
      </c>
      <c r="AQ29" s="123">
        <v>10</v>
      </c>
      <c r="AR29" s="123">
        <v>0</v>
      </c>
      <c r="AS29" s="123">
        <v>25</v>
      </c>
      <c r="AT29" s="123">
        <v>10</v>
      </c>
      <c r="AU29" s="123">
        <v>0</v>
      </c>
      <c r="AV29" s="123">
        <v>8</v>
      </c>
      <c r="AW29" s="123">
        <v>0</v>
      </c>
      <c r="AX29" s="123">
        <v>10</v>
      </c>
      <c r="AY29" s="123">
        <f>SUM(AQ29:AX29)</f>
        <v>63</v>
      </c>
      <c r="AZ29" s="28"/>
      <c r="BA29" s="187">
        <v>25</v>
      </c>
      <c r="BB29" s="186">
        <f>AY29+0</f>
        <v>63</v>
      </c>
      <c r="BC29" s="150">
        <v>75</v>
      </c>
      <c r="BD29" s="23"/>
      <c r="BE29" s="186">
        <f>AJ29</f>
        <v>82</v>
      </c>
      <c r="BF29" s="11"/>
      <c r="BG29" s="23"/>
      <c r="BH29" s="186">
        <f>X29</f>
        <v>88</v>
      </c>
      <c r="BI29" s="150">
        <v>88</v>
      </c>
      <c r="BJ29" s="23"/>
      <c r="BK29" s="11"/>
      <c r="BL29" s="11"/>
      <c r="BM29" s="23"/>
      <c r="BN29" s="187">
        <v>25</v>
      </c>
      <c r="BO29" s="186">
        <f>AY29-1</f>
        <v>62</v>
      </c>
      <c r="BP29" s="150">
        <v>75</v>
      </c>
      <c r="BQ29" s="23"/>
      <c r="BR29" s="186">
        <f>AJ29-1</f>
        <v>81</v>
      </c>
      <c r="BS29" s="11"/>
      <c r="BT29" s="23"/>
      <c r="BU29" s="186">
        <f>X29-1</f>
        <v>87</v>
      </c>
      <c r="BV29" s="150">
        <v>88</v>
      </c>
      <c r="BW29" s="23"/>
      <c r="BX29" s="11"/>
      <c r="BY29" s="11"/>
      <c r="BZ29" s="23"/>
      <c r="CA29" s="187">
        <v>25</v>
      </c>
      <c r="CB29" s="186">
        <f>AY29+2</f>
        <v>65</v>
      </c>
      <c r="CC29" s="150">
        <v>75</v>
      </c>
      <c r="CD29" s="23"/>
      <c r="CE29" s="186">
        <f>AJ29+2</f>
        <v>84</v>
      </c>
      <c r="CF29" s="11"/>
      <c r="CG29" s="23"/>
      <c r="CH29" s="186">
        <f>X29+2</f>
        <v>90</v>
      </c>
      <c r="CI29" s="150">
        <v>88</v>
      </c>
      <c r="CJ29" s="23"/>
      <c r="CK29" s="11"/>
      <c r="CL29" s="11"/>
      <c r="CM29" s="23"/>
      <c r="CN29" s="187">
        <v>25</v>
      </c>
      <c r="CO29" s="186">
        <f>AY29-1</f>
        <v>62</v>
      </c>
      <c r="CP29" s="150">
        <v>75</v>
      </c>
      <c r="CQ29" s="23"/>
      <c r="CR29" s="186">
        <f>AJ29+1</f>
        <v>83</v>
      </c>
      <c r="CS29" s="11"/>
      <c r="CT29" s="23"/>
      <c r="CU29" s="186">
        <f>X29+1</f>
        <v>89</v>
      </c>
      <c r="CV29" s="150">
        <v>88</v>
      </c>
      <c r="CW29" s="23"/>
      <c r="CX29" s="11"/>
      <c r="CY29" s="11"/>
      <c r="CZ29" s="23"/>
      <c r="DA29" s="11"/>
      <c r="DB29" s="11"/>
      <c r="DC29" s="11"/>
      <c r="DD29" s="11"/>
      <c r="DE29" s="11"/>
      <c r="DF29" s="23"/>
      <c r="DG29" s="11"/>
      <c r="DH29" s="23"/>
      <c r="DI29" s="11"/>
      <c r="DJ29" s="11"/>
      <c r="DK29" s="11"/>
      <c r="DL29" s="11"/>
      <c r="DM29" s="23"/>
      <c r="DN29" s="11"/>
      <c r="DO29" s="11"/>
      <c r="DP29" s="11"/>
      <c r="DQ29" s="153"/>
    </row>
    <row r="30" ht="15" customHeight="1">
      <c r="A30" s="313"/>
      <c r="B30" s="79">
        <v>26</v>
      </c>
      <c r="C30" s="75"/>
      <c r="D30" s="63"/>
      <c r="E30" s="75"/>
      <c r="F30" t="s" s="83">
        <v>43</v>
      </c>
      <c r="G30" t="s" s="83">
        <v>161</v>
      </c>
      <c r="H30" t="s" s="83">
        <v>43</v>
      </c>
      <c r="I30" t="s" s="83">
        <v>161</v>
      </c>
      <c r="J30" t="s" s="232">
        <v>161</v>
      </c>
      <c r="K30" t="s" s="309">
        <v>43</v>
      </c>
      <c r="L30" s="79">
        <v>3</v>
      </c>
      <c r="M30" s="75"/>
      <c r="N30" s="75"/>
      <c r="O30" s="79">
        <v>8</v>
      </c>
      <c r="P30" s="79">
        <v>1</v>
      </c>
      <c r="Q30" s="75"/>
      <c r="R30" s="75"/>
      <c r="S30" s="79">
        <v>7</v>
      </c>
      <c r="T30" s="79">
        <v>8</v>
      </c>
      <c r="U30" s="79">
        <v>7</v>
      </c>
      <c r="V30" s="163">
        <v>8</v>
      </c>
      <c r="W30" s="166">
        <v>15</v>
      </c>
      <c r="X30" s="307">
        <f>P30+Q30+R30+S30+T30+U30+V30+W30+AB30+AC30+O30</f>
        <v>70</v>
      </c>
      <c r="Y30" s="75"/>
      <c r="Z30" s="79">
        <v>4</v>
      </c>
      <c r="AA30" s="79">
        <v>0</v>
      </c>
      <c r="AB30" s="79">
        <v>8</v>
      </c>
      <c r="AC30" s="79">
        <v>8</v>
      </c>
      <c r="AD30" s="79">
        <v>0</v>
      </c>
      <c r="AE30" s="79">
        <v>0</v>
      </c>
      <c r="AF30" s="79">
        <v>0</v>
      </c>
      <c r="AG30" s="79">
        <v>0</v>
      </c>
      <c r="AH30" s="79">
        <v>0</v>
      </c>
      <c r="AI30" s="110">
        <v>20</v>
      </c>
      <c r="AJ30" s="306">
        <f>Z30+AA30+AB30+AC30+AD30+AE30+AF30+AG30+AH30+AI30</f>
        <v>40</v>
      </c>
      <c r="AK30" s="75"/>
      <c r="AL30" s="75"/>
      <c r="AM30" s="75"/>
      <c r="AN30" s="75"/>
      <c r="AO30" s="75"/>
      <c r="AP30" s="79">
        <v>26</v>
      </c>
      <c r="AQ30" s="79">
        <v>10</v>
      </c>
      <c r="AR30" s="79">
        <v>20</v>
      </c>
      <c r="AS30" s="79">
        <v>25</v>
      </c>
      <c r="AT30" s="79">
        <v>10</v>
      </c>
      <c r="AU30" s="79">
        <v>15</v>
      </c>
      <c r="AV30" s="79">
        <v>9</v>
      </c>
      <c r="AW30" s="79">
        <v>5</v>
      </c>
      <c r="AX30" s="79">
        <v>10</v>
      </c>
      <c r="AY30" s="79">
        <v>100</v>
      </c>
      <c r="AZ30" s="314">
        <v>2</v>
      </c>
      <c r="BA30" s="195">
        <v>26</v>
      </c>
      <c r="BB30" s="194">
        <f>AY30+0</f>
        <v>100</v>
      </c>
      <c r="BC30" s="23"/>
      <c r="BD30" s="23"/>
      <c r="BE30" s="194">
        <f>AJ30</f>
        <v>40</v>
      </c>
      <c r="BF30" s="154">
        <v>60</v>
      </c>
      <c r="BG30" s="23"/>
      <c r="BH30" s="194">
        <f>X30</f>
        <v>70</v>
      </c>
      <c r="BI30" s="23"/>
      <c r="BJ30" s="23"/>
      <c r="BK30" s="23"/>
      <c r="BL30" s="23"/>
      <c r="BM30" s="23"/>
      <c r="BN30" s="195">
        <v>26</v>
      </c>
      <c r="BO30" s="194">
        <f>AY30-1</f>
        <v>99</v>
      </c>
      <c r="BP30" s="23"/>
      <c r="BQ30" s="23"/>
      <c r="BR30" s="194">
        <f>AJ30-1</f>
        <v>39</v>
      </c>
      <c r="BS30" s="154">
        <v>60</v>
      </c>
      <c r="BT30" s="23"/>
      <c r="BU30" s="194">
        <f>X30-1</f>
        <v>69</v>
      </c>
      <c r="BV30" s="23"/>
      <c r="BW30" s="23"/>
      <c r="BX30" s="23"/>
      <c r="BY30" s="23"/>
      <c r="BZ30" s="23"/>
      <c r="CA30" s="195">
        <v>26</v>
      </c>
      <c r="CB30" s="194">
        <v>100</v>
      </c>
      <c r="CC30" s="23"/>
      <c r="CD30" s="23"/>
      <c r="CE30" s="194">
        <f>AJ30+2</f>
        <v>42</v>
      </c>
      <c r="CF30" s="154">
        <v>60</v>
      </c>
      <c r="CG30" s="23"/>
      <c r="CH30" s="194">
        <f>X30+2</f>
        <v>72</v>
      </c>
      <c r="CI30" s="23"/>
      <c r="CJ30" s="23"/>
      <c r="CK30" s="23"/>
      <c r="CL30" s="23"/>
      <c r="CM30" s="23"/>
      <c r="CN30" s="195">
        <v>26</v>
      </c>
      <c r="CO30" s="194">
        <f>AY30-1</f>
        <v>99</v>
      </c>
      <c r="CP30" s="23"/>
      <c r="CQ30" s="23"/>
      <c r="CR30" s="194">
        <f>AJ30+1</f>
        <v>41</v>
      </c>
      <c r="CS30" s="154">
        <v>60</v>
      </c>
      <c r="CT30" s="23"/>
      <c r="CU30" s="194">
        <f>X30+1</f>
        <v>71</v>
      </c>
      <c r="CV30" s="23"/>
      <c r="CW30" s="23"/>
      <c r="CX30" s="23"/>
      <c r="CY30" s="23"/>
      <c r="CZ30" s="23"/>
      <c r="DA30" s="23"/>
      <c r="DB30" s="23"/>
      <c r="DC30" s="23"/>
      <c r="DD30" s="23"/>
      <c r="DE30" s="23"/>
      <c r="DF30" s="23"/>
      <c r="DG30" s="23"/>
      <c r="DH30" s="23"/>
      <c r="DI30" s="23"/>
      <c r="DJ30" s="23"/>
      <c r="DK30" s="23"/>
      <c r="DL30" s="23"/>
      <c r="DM30" s="23"/>
      <c r="DN30" s="23"/>
      <c r="DO30" s="23"/>
      <c r="DP30" s="23"/>
      <c r="DQ30" s="156"/>
    </row>
    <row r="31" ht="15" customHeight="1">
      <c r="A31" s="313"/>
      <c r="B31" s="79">
        <v>27</v>
      </c>
      <c r="C31" t="s" s="83">
        <v>700</v>
      </c>
      <c r="D31" s="109"/>
      <c r="E31" s="75"/>
      <c r="F31" s="75"/>
      <c r="G31" t="s" s="83">
        <v>43</v>
      </c>
      <c r="H31" t="s" s="83">
        <v>161</v>
      </c>
      <c r="I31" s="75"/>
      <c r="J31" t="s" s="232">
        <v>43</v>
      </c>
      <c r="K31" t="s" s="309">
        <v>43</v>
      </c>
      <c r="L31" s="79">
        <v>8</v>
      </c>
      <c r="M31" s="75"/>
      <c r="N31" s="75"/>
      <c r="O31" s="79">
        <v>10</v>
      </c>
      <c r="P31" s="79">
        <v>18</v>
      </c>
      <c r="Q31" s="79">
        <v>10</v>
      </c>
      <c r="R31" s="75"/>
      <c r="S31" s="79">
        <v>10</v>
      </c>
      <c r="T31" s="79">
        <v>10</v>
      </c>
      <c r="U31" s="79">
        <v>9</v>
      </c>
      <c r="V31" s="79">
        <v>8</v>
      </c>
      <c r="W31" s="79">
        <v>15</v>
      </c>
      <c r="X31" s="307">
        <f>P31+Q31+R31+S31+T31+U31+V31+W31+AB31+AC31+O31</f>
        <v>110</v>
      </c>
      <c r="Y31" s="75"/>
      <c r="Z31" s="79">
        <v>8</v>
      </c>
      <c r="AA31" s="79">
        <v>0</v>
      </c>
      <c r="AB31" s="79">
        <v>10</v>
      </c>
      <c r="AC31" s="79">
        <v>10</v>
      </c>
      <c r="AD31" s="79">
        <v>12</v>
      </c>
      <c r="AE31" s="79">
        <v>8</v>
      </c>
      <c r="AF31" s="79">
        <v>20</v>
      </c>
      <c r="AG31" s="79">
        <v>5</v>
      </c>
      <c r="AH31" s="79">
        <v>0</v>
      </c>
      <c r="AI31" s="110">
        <v>20</v>
      </c>
      <c r="AJ31" s="306">
        <f>Z31+AA31+AB31+AC31+AD31+AE31+AF31+AG31+AH31+AI31</f>
        <v>93</v>
      </c>
      <c r="AK31" s="75"/>
      <c r="AL31" s="75"/>
      <c r="AM31" s="75"/>
      <c r="AN31" s="75"/>
      <c r="AO31" s="75"/>
      <c r="AP31" s="79">
        <v>27</v>
      </c>
      <c r="AQ31" s="79">
        <v>10</v>
      </c>
      <c r="AR31" s="79">
        <v>20</v>
      </c>
      <c r="AS31" s="79">
        <v>25</v>
      </c>
      <c r="AT31" s="79">
        <v>10</v>
      </c>
      <c r="AU31" s="79">
        <v>15</v>
      </c>
      <c r="AV31" s="79">
        <v>10</v>
      </c>
      <c r="AW31" s="79">
        <v>5</v>
      </c>
      <c r="AX31" s="79">
        <v>10</v>
      </c>
      <c r="AY31" s="79">
        <v>100</v>
      </c>
      <c r="AZ31" s="314">
        <v>2</v>
      </c>
      <c r="BA31" s="195">
        <v>27</v>
      </c>
      <c r="BB31" s="194">
        <f>AY31+0</f>
        <v>100</v>
      </c>
      <c r="BC31" s="23"/>
      <c r="BD31" s="23"/>
      <c r="BE31" s="194">
        <f>AJ31</f>
        <v>93</v>
      </c>
      <c r="BF31" s="23"/>
      <c r="BG31" s="23"/>
      <c r="BH31" s="194">
        <v>100</v>
      </c>
      <c r="BI31" s="23"/>
      <c r="BJ31" s="23"/>
      <c r="BK31" s="23"/>
      <c r="BL31" s="23"/>
      <c r="BM31" s="23"/>
      <c r="BN31" s="195">
        <v>27</v>
      </c>
      <c r="BO31" s="194">
        <f>AY31-1</f>
        <v>99</v>
      </c>
      <c r="BP31" s="23"/>
      <c r="BQ31" s="23"/>
      <c r="BR31" s="194">
        <f>AJ31-1</f>
        <v>92</v>
      </c>
      <c r="BS31" s="23"/>
      <c r="BT31" s="23"/>
      <c r="BU31" s="194">
        <v>100</v>
      </c>
      <c r="BV31" s="23"/>
      <c r="BW31" s="23"/>
      <c r="BX31" s="23"/>
      <c r="BY31" s="23"/>
      <c r="BZ31" s="23"/>
      <c r="CA31" s="195">
        <v>27</v>
      </c>
      <c r="CB31" s="194">
        <v>100</v>
      </c>
      <c r="CC31" s="23"/>
      <c r="CD31" s="23"/>
      <c r="CE31" s="194">
        <f>AJ31+2</f>
        <v>95</v>
      </c>
      <c r="CF31" s="23"/>
      <c r="CG31" s="23"/>
      <c r="CH31" s="194">
        <v>100</v>
      </c>
      <c r="CI31" s="23"/>
      <c r="CJ31" s="23"/>
      <c r="CK31" s="23"/>
      <c r="CL31" s="23"/>
      <c r="CM31" s="23"/>
      <c r="CN31" s="195">
        <v>27</v>
      </c>
      <c r="CO31" s="194">
        <f>AY31-1</f>
        <v>99</v>
      </c>
      <c r="CP31" s="23"/>
      <c r="CQ31" s="23"/>
      <c r="CR31" s="194">
        <f>AJ31+1</f>
        <v>94</v>
      </c>
      <c r="CS31" s="23"/>
      <c r="CT31" s="23"/>
      <c r="CU31" s="194">
        <v>100</v>
      </c>
      <c r="CV31" s="23"/>
      <c r="CW31" s="23"/>
      <c r="CX31" s="23"/>
      <c r="CY31" s="23"/>
      <c r="CZ31" s="23"/>
      <c r="DA31" s="23"/>
      <c r="DB31" s="23"/>
      <c r="DC31" s="23"/>
      <c r="DD31" s="23"/>
      <c r="DE31" s="23"/>
      <c r="DF31" s="23"/>
      <c r="DG31" s="23"/>
      <c r="DH31" s="23"/>
      <c r="DI31" s="23"/>
      <c r="DJ31" s="23"/>
      <c r="DK31" s="23"/>
      <c r="DL31" s="23"/>
      <c r="DM31" s="23"/>
      <c r="DN31" s="23"/>
      <c r="DO31" s="23"/>
      <c r="DP31" s="23"/>
      <c r="DQ31" s="156"/>
    </row>
    <row r="32" ht="15" customHeight="1">
      <c r="A32" s="146"/>
      <c r="B32" s="11"/>
      <c r="C32" s="148"/>
      <c r="D32" t="s" s="315">
        <v>701</v>
      </c>
      <c r="E32" s="316"/>
      <c r="F32" s="317"/>
      <c r="G32" s="317"/>
      <c r="H32" s="317"/>
      <c r="I32" s="318"/>
      <c r="J32" s="319"/>
      <c r="K32" s="320"/>
      <c r="L32" s="317"/>
      <c r="M32" s="317"/>
      <c r="N32" s="317"/>
      <c r="O32" s="321">
        <v>10</v>
      </c>
      <c r="P32" s="317"/>
      <c r="Q32" s="317"/>
      <c r="R32" s="317"/>
      <c r="S32" s="317"/>
      <c r="T32" s="317"/>
      <c r="U32" s="317"/>
      <c r="V32" s="317"/>
      <c r="W32" s="11"/>
      <c r="X32" s="322">
        <f>P32+Q32+R32+S32+T32+U32+V32+W32+AB32+AC32+O32</f>
        <v>27</v>
      </c>
      <c r="Y32" s="317"/>
      <c r="Z32" s="321">
        <v>7</v>
      </c>
      <c r="AA32" s="321">
        <v>0</v>
      </c>
      <c r="AB32" s="321">
        <v>8</v>
      </c>
      <c r="AC32" s="321">
        <v>9</v>
      </c>
      <c r="AD32" s="321">
        <v>0</v>
      </c>
      <c r="AE32" s="321">
        <v>10</v>
      </c>
      <c r="AF32" s="321">
        <v>14</v>
      </c>
      <c r="AG32" s="321">
        <v>5</v>
      </c>
      <c r="AH32" s="321">
        <v>0</v>
      </c>
      <c r="AI32" s="321">
        <v>20</v>
      </c>
      <c r="AJ32" s="323">
        <f>Z32+AA32+AB32+AC32+AD32+AE32+AF32+AG32+AH32+AI32</f>
        <v>73</v>
      </c>
      <c r="AK32" s="11"/>
      <c r="AL32" s="11"/>
      <c r="AM32" s="11"/>
      <c r="AN32" s="11"/>
      <c r="AO32" s="11"/>
      <c r="AP32" s="11"/>
      <c r="AQ32" s="11"/>
      <c r="AR32" s="11"/>
      <c r="AS32" s="11"/>
      <c r="AT32" s="11"/>
      <c r="AU32" s="11"/>
      <c r="AV32" s="11"/>
      <c r="AW32" s="11"/>
      <c r="AX32" s="11"/>
      <c r="AY32" s="11"/>
      <c r="AZ32" s="23"/>
      <c r="BA32" s="23"/>
      <c r="BB32" s="23"/>
      <c r="BC32" s="23"/>
      <c r="BD32" s="23"/>
      <c r="BE32" s="23"/>
      <c r="BF32" s="23"/>
      <c r="BG32" s="23"/>
      <c r="BH32" s="23"/>
      <c r="BI32" s="23"/>
      <c r="BJ32" s="23"/>
      <c r="BK32" s="23"/>
      <c r="BL32" s="23"/>
      <c r="BM32" s="23"/>
      <c r="BN32" s="23"/>
      <c r="BO32" s="244"/>
      <c r="BP32" s="23"/>
      <c r="BQ32" s="23"/>
      <c r="BR32" s="23"/>
      <c r="BS32" s="23"/>
      <c r="BT32" s="23"/>
      <c r="BU32" s="23"/>
      <c r="BV32" s="23"/>
      <c r="BW32" s="23"/>
      <c r="BX32" s="23"/>
      <c r="BY32" s="23"/>
      <c r="BZ32" s="23"/>
      <c r="CA32" s="23"/>
      <c r="CB32" s="244"/>
      <c r="CC32" s="23"/>
      <c r="CD32" s="23"/>
      <c r="CE32" s="23"/>
      <c r="CF32" s="23"/>
      <c r="CG32" s="23"/>
      <c r="CH32" s="23"/>
      <c r="CI32" s="23"/>
      <c r="CJ32" s="23"/>
      <c r="CK32" s="23"/>
      <c r="CL32" s="23"/>
      <c r="CM32" s="23"/>
      <c r="CN32" s="23"/>
      <c r="CO32" s="244"/>
      <c r="CP32" s="23"/>
      <c r="CQ32" s="23"/>
      <c r="CR32" s="23"/>
      <c r="CS32" s="23"/>
      <c r="CT32" s="23"/>
      <c r="CU32" s="23"/>
      <c r="CV32" s="23"/>
      <c r="CW32" s="23"/>
      <c r="CX32" s="23"/>
      <c r="CY32" s="23"/>
      <c r="CZ32" s="23"/>
      <c r="DA32" s="23"/>
      <c r="DB32" s="23"/>
      <c r="DC32" s="23"/>
      <c r="DD32" s="23"/>
      <c r="DE32" s="23"/>
      <c r="DF32" s="23"/>
      <c r="DG32" s="23"/>
      <c r="DH32" s="23"/>
      <c r="DI32" s="23"/>
      <c r="DJ32" s="23"/>
      <c r="DK32" s="23"/>
      <c r="DL32" s="23"/>
      <c r="DM32" s="23"/>
      <c r="DN32" s="23"/>
      <c r="DO32" s="23"/>
      <c r="DP32" s="23"/>
      <c r="DQ32" s="156"/>
    </row>
    <row r="33" ht="15" customHeight="1">
      <c r="A33" s="146"/>
      <c r="B33" s="23"/>
      <c r="C33" s="23"/>
      <c r="D33" s="11"/>
      <c r="E33" s="23"/>
      <c r="F33" s="23"/>
      <c r="G33" s="23"/>
      <c r="H33" s="23"/>
      <c r="I33" s="25"/>
      <c r="J33" s="74"/>
      <c r="K33" s="324"/>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44"/>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23"/>
      <c r="DP33" s="23"/>
      <c r="DQ33" s="156"/>
    </row>
    <row r="34" ht="15" customHeight="1">
      <c r="A34" s="146"/>
      <c r="B34" s="23"/>
      <c r="C34" s="23"/>
      <c r="D34" s="23"/>
      <c r="E34" s="23"/>
      <c r="F34" s="23"/>
      <c r="G34" s="23"/>
      <c r="H34" s="23"/>
      <c r="I34" s="25"/>
      <c r="J34" s="74"/>
      <c r="K34" s="324"/>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c r="DK34" s="23"/>
      <c r="DL34" s="23"/>
      <c r="DM34" s="23"/>
      <c r="DN34" s="23"/>
      <c r="DO34" s="23"/>
      <c r="DP34" s="23"/>
      <c r="DQ34" s="156"/>
    </row>
    <row r="35" ht="15" customHeight="1">
      <c r="A35" s="146"/>
      <c r="B35" s="23"/>
      <c r="C35" s="23"/>
      <c r="D35" s="154">
        <v>81909.22</v>
      </c>
      <c r="E35" s="23"/>
      <c r="F35" s="23"/>
      <c r="G35" s="23"/>
      <c r="H35" s="23"/>
      <c r="I35" s="25"/>
      <c r="J35" s="74"/>
      <c r="K35" s="324"/>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c r="DK35" s="23"/>
      <c r="DL35" s="23"/>
      <c r="DM35" s="23"/>
      <c r="DN35" s="23"/>
      <c r="DO35" s="23"/>
      <c r="DP35" s="23"/>
      <c r="DQ35" s="156"/>
    </row>
    <row r="36" ht="15" customHeight="1">
      <c r="A36" s="146"/>
      <c r="B36" s="23"/>
      <c r="C36" s="23"/>
      <c r="D36" s="154">
        <v>12494.63</v>
      </c>
      <c r="E36" s="23"/>
      <c r="F36" s="23"/>
      <c r="G36" s="23"/>
      <c r="H36" s="23"/>
      <c r="I36" s="25"/>
      <c r="J36" s="74"/>
      <c r="K36" s="324"/>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c r="DK36" s="23"/>
      <c r="DL36" s="23"/>
      <c r="DM36" s="23"/>
      <c r="DN36" s="23"/>
      <c r="DO36" s="23"/>
      <c r="DP36" s="23"/>
      <c r="DQ36" s="156"/>
    </row>
    <row r="37" ht="15" customHeight="1">
      <c r="A37" s="146"/>
      <c r="B37" s="23"/>
      <c r="C37" s="23"/>
      <c r="D37" s="154">
        <v>3470.73</v>
      </c>
      <c r="E37" s="23"/>
      <c r="F37" s="23"/>
      <c r="G37" s="23"/>
      <c r="H37" s="23"/>
      <c r="I37" s="25"/>
      <c r="J37" s="74"/>
      <c r="K37" s="324"/>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c r="DK37" s="23"/>
      <c r="DL37" s="23"/>
      <c r="DM37" s="23"/>
      <c r="DN37" s="23"/>
      <c r="DO37" s="23"/>
      <c r="DP37" s="23"/>
      <c r="DQ37" s="156"/>
    </row>
    <row r="38" ht="15" customHeight="1">
      <c r="A38" s="146"/>
      <c r="B38" s="23"/>
      <c r="C38" s="154">
        <v>1000000</v>
      </c>
      <c r="D38" s="154">
        <f>D35+D36</f>
        <v>94403.850000000006</v>
      </c>
      <c r="E38" s="23"/>
      <c r="F38" s="23"/>
      <c r="G38" s="23"/>
      <c r="H38" s="23"/>
      <c r="I38" s="25"/>
      <c r="J38" s="74"/>
      <c r="K38" s="324"/>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c r="DK38" s="23"/>
      <c r="DL38" s="23"/>
      <c r="DM38" s="23"/>
      <c r="DN38" s="23"/>
      <c r="DO38" s="23"/>
      <c r="DP38" s="23"/>
      <c r="DQ38" s="156"/>
    </row>
    <row r="39" ht="15" customHeight="1">
      <c r="A39" s="146"/>
      <c r="B39" s="23"/>
      <c r="C39" s="23"/>
      <c r="D39" s="23"/>
      <c r="E39" s="23"/>
      <c r="F39" s="23"/>
      <c r="G39" s="23"/>
      <c r="H39" s="23"/>
      <c r="I39" s="25"/>
      <c r="J39" s="325"/>
      <c r="K39" s="324"/>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156"/>
    </row>
    <row r="40" ht="15" customHeight="1">
      <c r="A40" s="146"/>
      <c r="B40" s="23"/>
      <c r="C40" s="23"/>
      <c r="D40" s="23"/>
      <c r="E40" s="23"/>
      <c r="F40" s="23"/>
      <c r="G40" s="23"/>
      <c r="H40" s="23"/>
      <c r="I40" s="25"/>
      <c r="J40" s="325"/>
      <c r="K40" s="324"/>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c r="DK40" s="23"/>
      <c r="DL40" s="23"/>
      <c r="DM40" s="23"/>
      <c r="DN40" s="23"/>
      <c r="DO40" s="23"/>
      <c r="DP40" s="23"/>
      <c r="DQ40" s="156"/>
    </row>
    <row r="41" ht="15" customHeight="1">
      <c r="A41" s="146"/>
      <c r="B41" s="23"/>
      <c r="C41" s="23"/>
      <c r="D41" s="23"/>
      <c r="E41" s="23"/>
      <c r="F41" s="23"/>
      <c r="G41" s="23"/>
      <c r="H41" s="23"/>
      <c r="I41" s="25"/>
      <c r="J41" s="325"/>
      <c r="K41" s="324"/>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c r="DK41" s="23"/>
      <c r="DL41" s="23"/>
      <c r="DM41" s="23"/>
      <c r="DN41" s="23"/>
      <c r="DO41" s="23"/>
      <c r="DP41" s="23"/>
      <c r="DQ41" s="156"/>
    </row>
    <row r="42" ht="15" customHeight="1">
      <c r="A42" s="146"/>
      <c r="B42" s="23"/>
      <c r="C42" s="23"/>
      <c r="D42" s="23"/>
      <c r="E42" s="23"/>
      <c r="F42" s="23"/>
      <c r="G42" s="23"/>
      <c r="H42" s="23"/>
      <c r="I42" s="25"/>
      <c r="J42" s="325"/>
      <c r="K42" s="324"/>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c r="DK42" s="23"/>
      <c r="DL42" s="23"/>
      <c r="DM42" s="23"/>
      <c r="DN42" s="23"/>
      <c r="DO42" s="23"/>
      <c r="DP42" s="23"/>
      <c r="DQ42" s="156"/>
    </row>
    <row r="43" ht="15" customHeight="1">
      <c r="A43" s="146"/>
      <c r="B43" s="23"/>
      <c r="C43" s="23"/>
      <c r="D43" s="23"/>
      <c r="E43" s="23"/>
      <c r="F43" s="23"/>
      <c r="G43" s="23"/>
      <c r="H43" s="23"/>
      <c r="I43" s="25"/>
      <c r="J43" s="74"/>
      <c r="K43" s="324"/>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156"/>
    </row>
    <row r="44" ht="15" customHeight="1">
      <c r="A44" s="146"/>
      <c r="B44" s="23"/>
      <c r="C44" s="23"/>
      <c r="D44" s="23"/>
      <c r="E44" s="23"/>
      <c r="F44" s="23"/>
      <c r="G44" s="23"/>
      <c r="H44" s="23"/>
      <c r="I44" s="25"/>
      <c r="J44" s="74"/>
      <c r="K44" s="324"/>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c r="DK44" s="23"/>
      <c r="DL44" s="23"/>
      <c r="DM44" s="23"/>
      <c r="DN44" s="23"/>
      <c r="DO44" s="23"/>
      <c r="DP44" s="23"/>
      <c r="DQ44" s="156"/>
    </row>
    <row r="45" ht="15" customHeight="1">
      <c r="A45" s="146"/>
      <c r="B45" s="23"/>
      <c r="C45" s="23"/>
      <c r="D45" s="23"/>
      <c r="E45" s="23"/>
      <c r="F45" s="23"/>
      <c r="G45" s="23"/>
      <c r="H45" s="23"/>
      <c r="I45" s="25"/>
      <c r="J45" s="74"/>
      <c r="K45" s="324"/>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c r="DK45" s="23"/>
      <c r="DL45" s="23"/>
      <c r="DM45" s="23"/>
      <c r="DN45" s="23"/>
      <c r="DO45" s="23"/>
      <c r="DP45" s="23"/>
      <c r="DQ45" s="156"/>
    </row>
    <row r="46" ht="15" customHeight="1">
      <c r="A46" s="146"/>
      <c r="B46" s="23"/>
      <c r="C46" s="23"/>
      <c r="D46" s="23"/>
      <c r="E46" s="23"/>
      <c r="F46" s="23"/>
      <c r="G46" s="23"/>
      <c r="H46" s="23"/>
      <c r="I46" s="23"/>
      <c r="J46" s="11"/>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c r="DK46" s="23"/>
      <c r="DL46" s="23"/>
      <c r="DM46" s="23"/>
      <c r="DN46" s="23"/>
      <c r="DO46" s="23"/>
      <c r="DP46" s="23"/>
      <c r="DQ46" s="156"/>
    </row>
    <row r="47" ht="15" customHeight="1">
      <c r="A47" s="146"/>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23"/>
      <c r="DL47" s="23"/>
      <c r="DM47" s="23"/>
      <c r="DN47" s="23"/>
      <c r="DO47" s="23"/>
      <c r="DP47" s="23"/>
      <c r="DQ47" s="156"/>
    </row>
    <row r="48" ht="15" customHeight="1">
      <c r="A48" s="85"/>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24"/>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159"/>
    </row>
  </sheetData>
  <mergeCells count="23">
    <mergeCell ref="DP3:DP4"/>
    <mergeCell ref="DQ3:DQ4"/>
    <mergeCell ref="DN2:DQ2"/>
    <mergeCell ref="BB3:BL3"/>
    <mergeCell ref="BO3:BY3"/>
    <mergeCell ref="CB3:CL3"/>
    <mergeCell ref="CO3:CY3"/>
    <mergeCell ref="DB3:DB4"/>
    <mergeCell ref="DC3:DC4"/>
    <mergeCell ref="DD3:DD4"/>
    <mergeCell ref="DE3:DE4"/>
    <mergeCell ref="DG3:DG4"/>
    <mergeCell ref="DI3:DI4"/>
    <mergeCell ref="DJ3:DJ4"/>
    <mergeCell ref="DK3:DK4"/>
    <mergeCell ref="DL3:DL4"/>
    <mergeCell ref="DN3:DN4"/>
    <mergeCell ref="DO3:DO4"/>
    <mergeCell ref="E1:AO1"/>
    <mergeCell ref="AQ2:AY2"/>
    <mergeCell ref="DB2:DE2"/>
    <mergeCell ref="DI2:DL2"/>
    <mergeCell ref="S3:V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9.xml><?xml version="1.0" encoding="utf-8"?>
<worksheet xmlns:r="http://schemas.openxmlformats.org/officeDocument/2006/relationships" xmlns="http://schemas.openxmlformats.org/spreadsheetml/2006/main">
  <dimension ref="A1:DK50"/>
  <sheetViews>
    <sheetView workbookViewId="0" showGridLines="0" defaultGridColor="1"/>
  </sheetViews>
  <sheetFormatPr defaultColWidth="10.8333" defaultRowHeight="15" customHeight="1" outlineLevelRow="0" outlineLevelCol="0"/>
  <cols>
    <col min="1" max="1" width="4.85156" style="326" customWidth="1"/>
    <col min="2" max="2" width="4" style="326" customWidth="1"/>
    <col min="3" max="3" width="25.6719" style="326" customWidth="1"/>
    <col min="4" max="4" width="18.8516" style="326" customWidth="1"/>
    <col min="5" max="10" width="3" style="326" customWidth="1"/>
    <col min="11" max="12" width="4" style="326" customWidth="1"/>
    <col min="13" max="21" width="6.78125" style="326" customWidth="1"/>
    <col min="22" max="25" width="4" style="326" customWidth="1"/>
    <col min="26" max="26" width="3.36719" style="326" customWidth="1"/>
    <col min="27" max="27" width="4.17188" style="326" customWidth="1"/>
    <col min="28" max="28" width="4.67188" style="326" customWidth="1"/>
    <col min="29" max="29" width="5.17188" style="326" customWidth="1"/>
    <col min="30" max="30" width="6.0625" style="326" customWidth="1"/>
    <col min="31" max="32" width="5.6875" style="326" customWidth="1"/>
    <col min="33" max="34" width="18.9766" style="326" customWidth="1"/>
    <col min="35" max="35" width="3" style="326" customWidth="1"/>
    <col min="36" max="36" width="2.67188" style="326" customWidth="1"/>
    <col min="37" max="46" width="5.17188" style="326" customWidth="1"/>
    <col min="47" max="47" width="3.5" style="326" customWidth="1"/>
    <col min="48" max="48" width="5.67188" style="326" customWidth="1"/>
    <col min="49" max="49" width="5.5" style="326" customWidth="1"/>
    <col min="50" max="50" width="1.5" style="326" customWidth="1"/>
    <col min="51" max="52" width="5.35156" style="326" customWidth="1"/>
    <col min="53" max="53" width="1.5" style="326" customWidth="1"/>
    <col min="54" max="55" width="5.17188" style="326" customWidth="1"/>
    <col min="56" max="56" width="1.5" style="326" customWidth="1"/>
    <col min="57" max="59" width="4.5" style="326" customWidth="1"/>
    <col min="60" max="60" width="5" style="326" customWidth="1"/>
    <col min="61" max="61" width="5.67188" style="326" customWidth="1"/>
    <col min="62" max="62" width="5.5" style="326" customWidth="1"/>
    <col min="63" max="63" width="1.5" style="326" customWidth="1"/>
    <col min="64" max="65" width="5.35156" style="326" customWidth="1"/>
    <col min="66" max="66" width="1.5" style="326" customWidth="1"/>
    <col min="67" max="68" width="5.17188" style="326" customWidth="1"/>
    <col min="69" max="69" width="1.5" style="326" customWidth="1"/>
    <col min="70" max="73" width="4.5" style="326" customWidth="1"/>
    <col min="74" max="74" width="5.67188" style="326" customWidth="1"/>
    <col min="75" max="75" width="5.5" style="326" customWidth="1"/>
    <col min="76" max="76" width="1.5" style="326" customWidth="1"/>
    <col min="77" max="78" width="5.35156" style="326" customWidth="1"/>
    <col min="79" max="79" width="1.5" style="326" customWidth="1"/>
    <col min="80" max="81" width="5.17188" style="326" customWidth="1"/>
    <col min="82" max="82" width="1.5" style="326" customWidth="1"/>
    <col min="83" max="85" width="4.5" style="326" customWidth="1"/>
    <col min="86" max="86" width="4" style="326" customWidth="1"/>
    <col min="87" max="87" width="5.67188" style="326" customWidth="1"/>
    <col min="88" max="88" width="5.5" style="326" customWidth="1"/>
    <col min="89" max="89" width="1.5" style="326" customWidth="1"/>
    <col min="90" max="91" width="5.35156" style="326" customWidth="1"/>
    <col min="92" max="92" width="1.5" style="326" customWidth="1"/>
    <col min="93" max="94" width="5.17188" style="326" customWidth="1"/>
    <col min="95" max="95" width="1.5" style="326" customWidth="1"/>
    <col min="96" max="98" width="4.5" style="326" customWidth="1"/>
    <col min="99" max="99" width="4" style="326" customWidth="1"/>
    <col min="100" max="103" width="6.5" style="326" customWidth="1"/>
    <col min="104" max="104" width="5.17188" style="326" customWidth="1"/>
    <col min="105" max="105" width="5.67188" style="326" customWidth="1"/>
    <col min="106" max="106" width="2.5" style="326" customWidth="1"/>
    <col min="107" max="110" width="5.17188" style="326" customWidth="1"/>
    <col min="111" max="111" width="2.85156" style="326" customWidth="1"/>
    <col min="112" max="115" width="4.67188" style="326" customWidth="1"/>
    <col min="116" max="16384" width="10.8516" style="326" customWidth="1"/>
  </cols>
  <sheetData>
    <row r="1" ht="13.5" customHeight="1">
      <c r="A1" s="7"/>
      <c r="B1" s="8">
        <v>39</v>
      </c>
      <c r="C1" s="7"/>
      <c r="D1" s="7"/>
      <c r="E1" t="s" s="9">
        <v>6</v>
      </c>
      <c r="F1" s="10"/>
      <c r="G1" s="10"/>
      <c r="H1" s="10"/>
      <c r="I1" s="10"/>
      <c r="J1" s="10"/>
      <c r="K1" s="12"/>
      <c r="L1" s="12"/>
      <c r="M1" s="12"/>
      <c r="N1" s="12"/>
      <c r="O1" s="12"/>
      <c r="P1" s="12"/>
      <c r="Q1" s="12"/>
      <c r="R1" s="12"/>
      <c r="S1" s="12"/>
      <c r="T1" s="12"/>
      <c r="U1" s="12"/>
      <c r="V1" s="12"/>
      <c r="W1" s="12"/>
      <c r="X1" s="12"/>
      <c r="Y1" s="10"/>
      <c r="Z1" s="10"/>
      <c r="AA1" s="10"/>
      <c r="AB1" s="10"/>
      <c r="AC1" s="10"/>
      <c r="AD1" s="10"/>
      <c r="AE1" s="12"/>
      <c r="AF1" s="12"/>
      <c r="AG1" s="12"/>
      <c r="AH1" s="10"/>
      <c r="AI1" s="10"/>
      <c r="AJ1" s="11"/>
      <c r="AK1" s="12"/>
      <c r="AL1" s="12"/>
      <c r="AM1" s="12"/>
      <c r="AN1" s="12"/>
      <c r="AO1" s="12"/>
      <c r="AP1" s="12"/>
      <c r="AQ1" s="12"/>
      <c r="AR1" s="12"/>
      <c r="AS1" s="12"/>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2"/>
      <c r="CW1" s="12"/>
      <c r="CX1" s="12"/>
      <c r="CY1" s="12"/>
      <c r="CZ1" s="13"/>
      <c r="DA1" s="13"/>
      <c r="DB1" s="13"/>
      <c r="DC1" s="12"/>
      <c r="DD1" s="12"/>
      <c r="DE1" s="12"/>
      <c r="DF1" s="12"/>
      <c r="DG1" s="13"/>
      <c r="DH1" s="12"/>
      <c r="DI1" s="12"/>
      <c r="DJ1" s="12"/>
      <c r="DK1" s="14"/>
    </row>
    <row r="2" ht="26.25" customHeight="1">
      <c r="A2" s="7"/>
      <c r="B2" s="15"/>
      <c r="C2" s="7"/>
      <c r="D2" s="93"/>
      <c r="E2" s="79">
        <v>1</v>
      </c>
      <c r="F2" s="79">
        <v>2</v>
      </c>
      <c r="G2" s="79">
        <v>3</v>
      </c>
      <c r="H2" s="79">
        <v>4</v>
      </c>
      <c r="I2" s="79">
        <v>5</v>
      </c>
      <c r="J2" s="79">
        <v>6</v>
      </c>
      <c r="K2" s="75"/>
      <c r="L2" s="75"/>
      <c r="M2" s="75"/>
      <c r="N2" s="75"/>
      <c r="O2" s="75"/>
      <c r="P2" s="75"/>
      <c r="Q2" s="75"/>
      <c r="R2" s="75"/>
      <c r="S2" s="75"/>
      <c r="T2" s="75"/>
      <c r="U2" s="75"/>
      <c r="V2" s="75"/>
      <c r="W2" s="75"/>
      <c r="X2" s="75"/>
      <c r="Y2" s="79">
        <v>7</v>
      </c>
      <c r="Z2" s="79">
        <v>8</v>
      </c>
      <c r="AA2" s="79">
        <v>9</v>
      </c>
      <c r="AB2" s="79">
        <v>10</v>
      </c>
      <c r="AC2" s="79">
        <v>11</v>
      </c>
      <c r="AD2" s="79">
        <v>12</v>
      </c>
      <c r="AE2" s="75"/>
      <c r="AF2" s="75"/>
      <c r="AG2" s="75"/>
      <c r="AH2" s="79">
        <v>13</v>
      </c>
      <c r="AI2" s="79">
        <v>14</v>
      </c>
      <c r="AJ2" s="18"/>
      <c r="AK2" t="s" s="19">
        <v>7</v>
      </c>
      <c r="AL2" s="20"/>
      <c r="AM2" s="20"/>
      <c r="AN2" s="20"/>
      <c r="AO2" s="20"/>
      <c r="AP2" s="20"/>
      <c r="AQ2" s="20"/>
      <c r="AR2" s="20"/>
      <c r="AS2" s="21"/>
      <c r="AT2" s="22"/>
      <c r="AU2" s="23"/>
      <c r="AV2" s="24"/>
      <c r="AW2" s="24"/>
      <c r="AX2" s="24"/>
      <c r="AY2" s="24"/>
      <c r="AZ2" s="24"/>
      <c r="BA2" s="24"/>
      <c r="BB2" s="24"/>
      <c r="BC2" s="24"/>
      <c r="BD2" s="24"/>
      <c r="BE2" s="24"/>
      <c r="BF2" s="24"/>
      <c r="BG2" s="23"/>
      <c r="BH2" s="23"/>
      <c r="BI2" s="24"/>
      <c r="BJ2" s="24"/>
      <c r="BK2" s="24"/>
      <c r="BL2" s="24"/>
      <c r="BM2" s="24"/>
      <c r="BN2" s="24"/>
      <c r="BO2" s="24"/>
      <c r="BP2" s="24"/>
      <c r="BQ2" s="24"/>
      <c r="BR2" s="24"/>
      <c r="BS2" s="24"/>
      <c r="BT2" s="23"/>
      <c r="BU2" s="23"/>
      <c r="BV2" s="24"/>
      <c r="BW2" s="24"/>
      <c r="BX2" s="24"/>
      <c r="BY2" s="24"/>
      <c r="BZ2" s="24"/>
      <c r="CA2" s="24"/>
      <c r="CB2" s="24"/>
      <c r="CC2" s="24"/>
      <c r="CD2" s="24"/>
      <c r="CE2" s="24"/>
      <c r="CF2" s="24"/>
      <c r="CG2" s="23"/>
      <c r="CH2" s="23"/>
      <c r="CI2" s="24"/>
      <c r="CJ2" s="24"/>
      <c r="CK2" s="24"/>
      <c r="CL2" s="24"/>
      <c r="CM2" s="24"/>
      <c r="CN2" s="24"/>
      <c r="CO2" s="24"/>
      <c r="CP2" s="24"/>
      <c r="CQ2" s="24"/>
      <c r="CR2" s="24"/>
      <c r="CS2" s="24"/>
      <c r="CT2" s="23"/>
      <c r="CU2" s="25"/>
      <c r="CV2" t="s" s="26">
        <v>8</v>
      </c>
      <c r="CW2" s="27"/>
      <c r="CX2" s="27"/>
      <c r="CY2" s="27"/>
      <c r="CZ2" s="28"/>
      <c r="DA2" s="24"/>
      <c r="DB2" s="25"/>
      <c r="DC2" t="s" s="29">
        <v>9</v>
      </c>
      <c r="DD2" s="30"/>
      <c r="DE2" s="30"/>
      <c r="DF2" s="30"/>
      <c r="DG2" s="18"/>
      <c r="DH2" t="s" s="29">
        <v>10</v>
      </c>
      <c r="DI2" s="30"/>
      <c r="DJ2" s="30"/>
      <c r="DK2" s="30"/>
    </row>
    <row r="3" ht="58.5" customHeight="1">
      <c r="A3" s="31">
        <f>SUM(A4:A47)</f>
        <v>1695</v>
      </c>
      <c r="B3" s="32"/>
      <c r="C3" t="s" s="96">
        <v>134</v>
      </c>
      <c r="D3" s="97"/>
      <c r="E3" s="35"/>
      <c r="F3" s="35"/>
      <c r="G3" s="327">
        <v>45960</v>
      </c>
      <c r="H3" s="98">
        <v>45962</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18"/>
      <c r="AK3" t="s" s="36">
        <v>142</v>
      </c>
      <c r="AL3" t="s" s="36">
        <v>140</v>
      </c>
      <c r="AM3" t="s" s="36">
        <v>144</v>
      </c>
      <c r="AN3" t="s" s="36">
        <v>145</v>
      </c>
      <c r="AO3" t="s" s="36">
        <v>146</v>
      </c>
      <c r="AP3" t="s" s="36">
        <v>147</v>
      </c>
      <c r="AQ3" s="58"/>
      <c r="AR3" s="35"/>
      <c r="AS3" t="s" s="36">
        <v>12</v>
      </c>
      <c r="AT3" s="37"/>
      <c r="AU3" s="25"/>
      <c r="AV3" t="s" s="38">
        <v>13</v>
      </c>
      <c r="AW3" s="39"/>
      <c r="AX3" s="39"/>
      <c r="AY3" s="39"/>
      <c r="AZ3" s="39"/>
      <c r="BA3" s="39"/>
      <c r="BB3" s="39"/>
      <c r="BC3" s="39"/>
      <c r="BD3" s="39"/>
      <c r="BE3" s="39"/>
      <c r="BF3" s="40"/>
      <c r="BG3" s="28"/>
      <c r="BH3" s="25"/>
      <c r="BI3" t="s" s="41">
        <v>14</v>
      </c>
      <c r="BJ3" s="42"/>
      <c r="BK3" s="42"/>
      <c r="BL3" s="42"/>
      <c r="BM3" s="42"/>
      <c r="BN3" s="42"/>
      <c r="BO3" s="42"/>
      <c r="BP3" s="42"/>
      <c r="BQ3" s="42"/>
      <c r="BR3" s="42"/>
      <c r="BS3" s="43"/>
      <c r="BT3" s="44"/>
      <c r="BU3" s="25"/>
      <c r="BV3" t="s" s="45">
        <v>15</v>
      </c>
      <c r="BW3" s="46"/>
      <c r="BX3" s="46"/>
      <c r="BY3" s="46"/>
      <c r="BZ3" s="46"/>
      <c r="CA3" s="46"/>
      <c r="CB3" s="46"/>
      <c r="CC3" s="46"/>
      <c r="CD3" s="46"/>
      <c r="CE3" s="46"/>
      <c r="CF3" s="47"/>
      <c r="CG3" s="44"/>
      <c r="CH3" s="25"/>
      <c r="CI3" t="s" s="48">
        <v>16</v>
      </c>
      <c r="CJ3" s="49"/>
      <c r="CK3" s="49"/>
      <c r="CL3" s="49"/>
      <c r="CM3" s="49"/>
      <c r="CN3" s="49"/>
      <c r="CO3" s="49"/>
      <c r="CP3" s="49"/>
      <c r="CQ3" s="49"/>
      <c r="CR3" s="49"/>
      <c r="CS3" s="50"/>
      <c r="CT3" s="44"/>
      <c r="CU3" s="25"/>
      <c r="CV3" t="s" s="51">
        <v>17</v>
      </c>
      <c r="CW3" t="s" s="51">
        <v>18</v>
      </c>
      <c r="CX3" t="s" s="51">
        <v>19</v>
      </c>
      <c r="CY3" t="s" s="51">
        <v>20</v>
      </c>
      <c r="CZ3" s="18"/>
      <c r="DA3" t="s" s="52">
        <v>21</v>
      </c>
      <c r="DB3" s="18"/>
      <c r="DC3" t="s" s="53">
        <v>22</v>
      </c>
      <c r="DD3" t="s" s="53">
        <v>23</v>
      </c>
      <c r="DE3" t="s" s="53">
        <v>24</v>
      </c>
      <c r="DF3" t="s" s="53">
        <v>25</v>
      </c>
      <c r="DG3" s="18"/>
      <c r="DH3" t="s" s="53">
        <v>26</v>
      </c>
      <c r="DI3" t="s" s="53">
        <v>27</v>
      </c>
      <c r="DJ3" t="s" s="53">
        <v>28</v>
      </c>
      <c r="DK3" t="s" s="53">
        <v>29</v>
      </c>
    </row>
    <row r="4" ht="13.5" customHeight="1">
      <c r="A4" s="31">
        <v>1</v>
      </c>
      <c r="B4" t="s" s="101">
        <v>30</v>
      </c>
      <c r="C4" t="s" s="102">
        <v>31</v>
      </c>
      <c r="D4" t="s" s="54">
        <v>32</v>
      </c>
      <c r="E4" s="56"/>
      <c r="F4" t="s" s="57">
        <v>569</v>
      </c>
      <c r="G4" s="56"/>
      <c r="H4" t="s" s="57">
        <v>570</v>
      </c>
      <c r="I4" s="56"/>
      <c r="J4" t="s" s="57">
        <v>642</v>
      </c>
      <c r="K4" s="58"/>
      <c r="L4" t="s" s="61">
        <v>703</v>
      </c>
      <c r="M4" t="s" s="61">
        <v>142</v>
      </c>
      <c r="N4" t="s" s="61">
        <v>143</v>
      </c>
      <c r="O4" t="s" s="61">
        <v>704</v>
      </c>
      <c r="P4" t="s" s="61">
        <v>705</v>
      </c>
      <c r="Q4" t="s" s="61">
        <v>706</v>
      </c>
      <c r="R4" s="63"/>
      <c r="S4" t="s" s="61">
        <v>137</v>
      </c>
      <c r="T4" t="s" s="61">
        <v>397</v>
      </c>
      <c r="U4" t="s" s="61">
        <v>707</v>
      </c>
      <c r="V4" s="58"/>
      <c r="W4" s="58"/>
      <c r="X4" s="58"/>
      <c r="Y4" t="s" s="61">
        <v>708</v>
      </c>
      <c r="Z4" t="s" s="61">
        <v>142</v>
      </c>
      <c r="AA4" t="s" s="61">
        <v>137</v>
      </c>
      <c r="AB4" t="s" s="61">
        <v>397</v>
      </c>
      <c r="AC4" t="s" s="61">
        <v>140</v>
      </c>
      <c r="AD4" t="s" s="328">
        <v>278</v>
      </c>
      <c r="AE4" s="58"/>
      <c r="AF4" s="58"/>
      <c r="AG4" s="58"/>
      <c r="AH4" t="s" s="61">
        <v>709</v>
      </c>
      <c r="AI4" s="58"/>
      <c r="AJ4" s="207"/>
      <c r="AK4" s="58"/>
      <c r="AL4" s="58"/>
      <c r="AM4" s="58"/>
      <c r="AN4" s="58"/>
      <c r="AO4" s="58"/>
      <c r="AP4" s="58"/>
      <c r="AQ4" s="58"/>
      <c r="AR4" s="58"/>
      <c r="AS4" s="58"/>
      <c r="AT4" s="28"/>
      <c r="AU4" s="60"/>
      <c r="AV4" t="s" s="61">
        <v>33</v>
      </c>
      <c r="AW4" t="s" s="62">
        <v>34</v>
      </c>
      <c r="AX4" s="63"/>
      <c r="AY4" t="s" s="61">
        <v>35</v>
      </c>
      <c r="AZ4" t="s" s="62">
        <v>36</v>
      </c>
      <c r="BA4" s="63"/>
      <c r="BB4" t="s" s="61">
        <v>37</v>
      </c>
      <c r="BC4" t="s" s="62">
        <v>38</v>
      </c>
      <c r="BD4" s="63"/>
      <c r="BE4" t="s" s="61">
        <v>39</v>
      </c>
      <c r="BF4" t="s" s="62">
        <v>40</v>
      </c>
      <c r="BG4" s="28"/>
      <c r="BH4" s="60"/>
      <c r="BI4" t="s" s="61">
        <v>33</v>
      </c>
      <c r="BJ4" t="s" s="62">
        <v>34</v>
      </c>
      <c r="BK4" s="63"/>
      <c r="BL4" t="s" s="61">
        <v>35</v>
      </c>
      <c r="BM4" t="s" s="62">
        <v>36</v>
      </c>
      <c r="BN4" s="63"/>
      <c r="BO4" t="s" s="61">
        <v>37</v>
      </c>
      <c r="BP4" t="s" s="62">
        <v>38</v>
      </c>
      <c r="BQ4" s="63"/>
      <c r="BR4" t="s" s="61">
        <v>39</v>
      </c>
      <c r="BS4" t="s" s="62">
        <v>40</v>
      </c>
      <c r="BT4" s="28"/>
      <c r="BU4" s="60"/>
      <c r="BV4" t="s" s="61">
        <v>33</v>
      </c>
      <c r="BW4" t="s" s="62">
        <v>34</v>
      </c>
      <c r="BX4" s="63"/>
      <c r="BY4" t="s" s="61">
        <v>35</v>
      </c>
      <c r="BZ4" t="s" s="62">
        <v>36</v>
      </c>
      <c r="CA4" s="63"/>
      <c r="CB4" t="s" s="61">
        <v>37</v>
      </c>
      <c r="CC4" t="s" s="62">
        <v>38</v>
      </c>
      <c r="CD4" s="63"/>
      <c r="CE4" t="s" s="61">
        <v>39</v>
      </c>
      <c r="CF4" t="s" s="62">
        <v>40</v>
      </c>
      <c r="CG4" s="28"/>
      <c r="CH4" s="60"/>
      <c r="CI4" t="s" s="61">
        <v>33</v>
      </c>
      <c r="CJ4" t="s" s="62">
        <v>34</v>
      </c>
      <c r="CK4" s="63"/>
      <c r="CL4" t="s" s="61">
        <v>35</v>
      </c>
      <c r="CM4" t="s" s="62">
        <v>36</v>
      </c>
      <c r="CN4" s="63"/>
      <c r="CO4" t="s" s="61">
        <v>37</v>
      </c>
      <c r="CP4" t="s" s="62">
        <v>38</v>
      </c>
      <c r="CQ4" s="63"/>
      <c r="CR4" t="s" s="61">
        <v>39</v>
      </c>
      <c r="CS4" t="s" s="62">
        <v>40</v>
      </c>
      <c r="CT4" s="64"/>
      <c r="CU4" s="60"/>
      <c r="CV4" s="65"/>
      <c r="CW4" s="65"/>
      <c r="CX4" s="65"/>
      <c r="CY4" s="65"/>
      <c r="CZ4" s="18"/>
      <c r="DA4" s="66"/>
      <c r="DB4" s="18"/>
      <c r="DC4" s="67"/>
      <c r="DD4" s="67"/>
      <c r="DE4" s="67"/>
      <c r="DF4" s="67"/>
      <c r="DG4" s="18"/>
      <c r="DH4" s="67"/>
      <c r="DI4" s="67"/>
      <c r="DJ4" s="67"/>
      <c r="DK4" s="67"/>
    </row>
    <row r="5" ht="16.5" customHeight="1">
      <c r="A5" s="105"/>
      <c r="B5" s="106">
        <v>1</v>
      </c>
      <c r="C5" t="s" s="70">
        <v>710</v>
      </c>
      <c r="D5" t="s" s="71">
        <v>711</v>
      </c>
      <c r="E5" t="s" s="72">
        <v>43</v>
      </c>
      <c r="F5" t="s" s="107">
        <v>43</v>
      </c>
      <c r="G5" t="s" s="72">
        <v>161</v>
      </c>
      <c r="H5" t="s" s="107">
        <v>43</v>
      </c>
      <c r="I5" s="74"/>
      <c r="J5" t="s" s="107">
        <v>43</v>
      </c>
      <c r="K5" t="s" s="83">
        <v>43</v>
      </c>
      <c r="L5" t="s" s="83">
        <v>43</v>
      </c>
      <c r="M5" s="79">
        <v>10</v>
      </c>
      <c r="N5" s="79">
        <v>20</v>
      </c>
      <c r="O5" s="79">
        <v>8</v>
      </c>
      <c r="P5" s="79">
        <v>9</v>
      </c>
      <c r="Q5" s="79">
        <v>8</v>
      </c>
      <c r="R5" s="236">
        <f>O5+P5+Q5</f>
        <v>25</v>
      </c>
      <c r="S5" s="79">
        <v>10</v>
      </c>
      <c r="T5" s="76"/>
      <c r="U5" s="79">
        <v>10</v>
      </c>
      <c r="V5" s="75"/>
      <c r="W5" s="79">
        <f>V5+U5+T5+S5+R5+Q5+P5+O5+N5+M5</f>
        <v>100</v>
      </c>
      <c r="X5" s="75"/>
      <c r="Y5" s="79">
        <v>5</v>
      </c>
      <c r="Z5" s="110">
        <v>10</v>
      </c>
      <c r="AA5" s="79">
        <v>10</v>
      </c>
      <c r="AB5" s="110">
        <v>10</v>
      </c>
      <c r="AC5" s="79">
        <v>20</v>
      </c>
      <c r="AD5" s="236">
        <v>10</v>
      </c>
      <c r="AE5" s="110">
        <v>30</v>
      </c>
      <c r="AF5" s="111">
        <f>Y5+Z5+AA5+AB5+AC5+AD5+AE5</f>
        <v>95</v>
      </c>
      <c r="AG5" s="76"/>
      <c r="AH5" t="s" s="130">
        <v>712</v>
      </c>
      <c r="AI5" s="76">
        <f>Y5+Z5+AA5+AB5+AC5+AD5+AH5</f>
      </c>
      <c r="AJ5" s="78">
        <v>1</v>
      </c>
      <c r="AK5" s="110">
        <v>10</v>
      </c>
      <c r="AL5" s="79">
        <v>20</v>
      </c>
      <c r="AM5" s="110">
        <v>20</v>
      </c>
      <c r="AN5" s="79">
        <v>10</v>
      </c>
      <c r="AO5" s="79">
        <v>10</v>
      </c>
      <c r="AP5" s="110">
        <v>10</v>
      </c>
      <c r="AQ5" s="79">
        <v>7</v>
      </c>
      <c r="AR5" s="110">
        <v>10</v>
      </c>
      <c r="AS5" s="79">
        <f>SUM(AK5:AR5)</f>
        <v>97</v>
      </c>
      <c r="AT5" s="18"/>
      <c r="AU5" s="78">
        <v>1</v>
      </c>
      <c r="AV5" s="110">
        <f>AS5+0</f>
        <v>97</v>
      </c>
      <c r="AW5" s="75"/>
      <c r="AX5" s="18"/>
      <c r="AY5" s="110">
        <f>AF5</f>
        <v>95</v>
      </c>
      <c r="AZ5" s="75"/>
      <c r="BA5" s="18"/>
      <c r="BB5" s="110">
        <f>W5</f>
        <v>100</v>
      </c>
      <c r="BC5" s="75"/>
      <c r="BD5" s="18"/>
      <c r="BE5" s="76"/>
      <c r="BF5" s="75"/>
      <c r="BG5" s="18"/>
      <c r="BH5" s="78">
        <v>1</v>
      </c>
      <c r="BI5" s="110">
        <f>AS5-1</f>
        <v>96</v>
      </c>
      <c r="BJ5" s="75"/>
      <c r="BK5" s="18"/>
      <c r="BL5" s="110">
        <f>AF5-1</f>
        <v>94</v>
      </c>
      <c r="BM5" s="75"/>
      <c r="BN5" s="18"/>
      <c r="BO5" s="110">
        <f>W5-1</f>
        <v>99</v>
      </c>
      <c r="BP5" s="75"/>
      <c r="BQ5" s="18"/>
      <c r="BR5" s="76"/>
      <c r="BS5" s="75"/>
      <c r="BT5" s="18"/>
      <c r="BU5" s="78">
        <v>1</v>
      </c>
      <c r="BV5" s="110">
        <f>AS5+2</f>
        <v>99</v>
      </c>
      <c r="BW5" s="75"/>
      <c r="BX5" s="18"/>
      <c r="BY5" s="110">
        <f>AF5+2</f>
        <v>97</v>
      </c>
      <c r="BZ5" s="75"/>
      <c r="CA5" s="18"/>
      <c r="CB5" s="110">
        <v>100</v>
      </c>
      <c r="CC5" s="75"/>
      <c r="CD5" s="18"/>
      <c r="CE5" s="76"/>
      <c r="CF5" s="75"/>
      <c r="CG5" s="18"/>
      <c r="CH5" s="78">
        <v>1</v>
      </c>
      <c r="CI5" s="110">
        <f>AS5-1</f>
        <v>96</v>
      </c>
      <c r="CJ5" s="75"/>
      <c r="CK5" s="18"/>
      <c r="CL5" s="110">
        <f>AF5+1</f>
        <v>96</v>
      </c>
      <c r="CM5" s="75"/>
      <c r="CN5" s="18"/>
      <c r="CO5" s="110">
        <v>100</v>
      </c>
      <c r="CP5" s="75"/>
      <c r="CQ5" s="18"/>
      <c r="CR5" s="76"/>
      <c r="CS5" s="75"/>
      <c r="CT5" s="18"/>
      <c r="CU5" s="78">
        <v>1</v>
      </c>
      <c r="CV5" s="79">
        <f>(AV5+AY5+BB5+BE5)/4</f>
        <v>73</v>
      </c>
      <c r="CW5" s="79">
        <f>(BI5+BL5+BO5+BR5)/4</f>
        <v>72.25</v>
      </c>
      <c r="CX5" s="79">
        <f>(BV5+BY5+CB5+CE5)/4</f>
        <v>74</v>
      </c>
      <c r="CY5" s="79">
        <f>(CI5+CL5+CO5+CR5)/4</f>
        <v>73</v>
      </c>
      <c r="CZ5" s="18"/>
      <c r="DA5" s="80">
        <f>SUM(CV5:CY5)/4</f>
        <v>73.0625</v>
      </c>
      <c r="DB5" s="18"/>
      <c r="DC5" s="79">
        <f>DA5*0.5</f>
        <v>36.53125</v>
      </c>
      <c r="DD5" s="75"/>
      <c r="DE5" s="79">
        <f>DD5*0.5</f>
        <v>0</v>
      </c>
      <c r="DF5" s="81">
        <f>DE5+DC5</f>
        <v>36.53125</v>
      </c>
      <c r="DG5" s="18"/>
      <c r="DH5" s="79">
        <f>DA5*0.3</f>
        <v>21.91875</v>
      </c>
      <c r="DI5" s="75"/>
      <c r="DJ5" s="79">
        <f>DI5*0.7</f>
        <v>0</v>
      </c>
      <c r="DK5" s="81">
        <f>DJ5+DH5</f>
        <v>21.91875</v>
      </c>
    </row>
    <row r="6" ht="16.5" customHeight="1">
      <c r="A6" s="31">
        <v>1</v>
      </c>
      <c r="B6" s="106">
        <v>2</v>
      </c>
      <c r="C6" t="s" s="70">
        <v>502</v>
      </c>
      <c r="D6" t="s" s="71">
        <v>713</v>
      </c>
      <c r="E6" t="s" s="72">
        <v>43</v>
      </c>
      <c r="F6" t="s" s="113">
        <v>161</v>
      </c>
      <c r="G6" t="s" s="72">
        <v>161</v>
      </c>
      <c r="H6" t="s" s="113">
        <v>43</v>
      </c>
      <c r="I6" s="74"/>
      <c r="J6" t="s" s="113">
        <v>43</v>
      </c>
      <c r="K6" t="s" s="83">
        <v>43</v>
      </c>
      <c r="L6" t="s" s="83">
        <v>161</v>
      </c>
      <c r="M6" s="79">
        <v>8</v>
      </c>
      <c r="N6" s="79">
        <v>15</v>
      </c>
      <c r="O6" s="79">
        <v>3</v>
      </c>
      <c r="P6" s="79">
        <v>9</v>
      </c>
      <c r="Q6" s="79">
        <v>7</v>
      </c>
      <c r="R6" s="79">
        <f>O6+P6+Q6</f>
        <v>19</v>
      </c>
      <c r="S6" s="79">
        <v>10</v>
      </c>
      <c r="T6" s="76"/>
      <c r="U6" s="79">
        <v>6</v>
      </c>
      <c r="V6" s="75"/>
      <c r="W6" s="79">
        <f>V6+U6+T6+S6+R6+Q6+P6+O6+N6+M6</f>
        <v>77</v>
      </c>
      <c r="X6" s="75"/>
      <c r="Y6" s="79">
        <v>10</v>
      </c>
      <c r="Z6" s="110">
        <v>10</v>
      </c>
      <c r="AA6" s="79">
        <v>10</v>
      </c>
      <c r="AB6" s="110">
        <v>10</v>
      </c>
      <c r="AC6" s="79">
        <v>18</v>
      </c>
      <c r="AD6" s="110">
        <v>10</v>
      </c>
      <c r="AE6" s="110">
        <v>30</v>
      </c>
      <c r="AF6" s="111">
        <f>Y6+Z6+AA6+AB6+AC6+AD6+AE6</f>
        <v>98</v>
      </c>
      <c r="AG6" s="75"/>
      <c r="AH6" t="s" s="83">
        <v>714</v>
      </c>
      <c r="AI6" s="76"/>
      <c r="AJ6" s="78">
        <v>2</v>
      </c>
      <c r="AK6" s="110">
        <v>10</v>
      </c>
      <c r="AL6" s="79">
        <v>10</v>
      </c>
      <c r="AM6" s="110">
        <v>20</v>
      </c>
      <c r="AN6" s="79">
        <v>9</v>
      </c>
      <c r="AO6" s="79">
        <v>6</v>
      </c>
      <c r="AP6" s="110">
        <v>8</v>
      </c>
      <c r="AQ6" s="79">
        <v>7</v>
      </c>
      <c r="AR6" s="110">
        <v>10</v>
      </c>
      <c r="AS6" s="79">
        <f>SUM(AK6:AR6)</f>
        <v>80</v>
      </c>
      <c r="AT6" s="18"/>
      <c r="AU6" s="78">
        <v>2</v>
      </c>
      <c r="AV6" s="110">
        <f>AS6+0</f>
        <v>80</v>
      </c>
      <c r="AW6" s="75"/>
      <c r="AX6" s="18"/>
      <c r="AY6" s="110">
        <f>AF6</f>
        <v>98</v>
      </c>
      <c r="AZ6" s="75"/>
      <c r="BA6" s="18"/>
      <c r="BB6" s="110">
        <f>W6</f>
        <v>77</v>
      </c>
      <c r="BC6" s="75"/>
      <c r="BD6" s="18"/>
      <c r="BE6" s="76"/>
      <c r="BF6" s="75"/>
      <c r="BG6" s="18"/>
      <c r="BH6" s="78">
        <v>2</v>
      </c>
      <c r="BI6" s="110">
        <f>AS6-1</f>
        <v>79</v>
      </c>
      <c r="BJ6" s="75"/>
      <c r="BK6" s="18"/>
      <c r="BL6" s="110">
        <f>AF6-1</f>
        <v>97</v>
      </c>
      <c r="BM6" s="75"/>
      <c r="BN6" s="18"/>
      <c r="BO6" s="110">
        <f>W6-1</f>
        <v>76</v>
      </c>
      <c r="BP6" s="75"/>
      <c r="BQ6" s="18"/>
      <c r="BR6" s="76"/>
      <c r="BS6" s="75"/>
      <c r="BT6" s="18"/>
      <c r="BU6" s="78">
        <v>2</v>
      </c>
      <c r="BV6" s="110">
        <f>AS6+2</f>
        <v>82</v>
      </c>
      <c r="BW6" s="75"/>
      <c r="BX6" s="18"/>
      <c r="BY6" s="110">
        <f>AF6+2</f>
        <v>100</v>
      </c>
      <c r="BZ6" s="75"/>
      <c r="CA6" s="18"/>
      <c r="CB6" s="110">
        <f>W6+2</f>
        <v>79</v>
      </c>
      <c r="CC6" s="75"/>
      <c r="CD6" s="18"/>
      <c r="CE6" s="76"/>
      <c r="CF6" s="75"/>
      <c r="CG6" s="18"/>
      <c r="CH6" s="78">
        <v>2</v>
      </c>
      <c r="CI6" s="110">
        <f>AS6-1</f>
        <v>79</v>
      </c>
      <c r="CJ6" s="75"/>
      <c r="CK6" s="18"/>
      <c r="CL6" s="110">
        <f>AF6+1</f>
        <v>99</v>
      </c>
      <c r="CM6" s="75"/>
      <c r="CN6" s="18"/>
      <c r="CO6" s="110">
        <f>W6+1</f>
        <v>78</v>
      </c>
      <c r="CP6" s="75"/>
      <c r="CQ6" s="18"/>
      <c r="CR6" s="76"/>
      <c r="CS6" s="75"/>
      <c r="CT6" s="18"/>
      <c r="CU6" s="78">
        <v>2</v>
      </c>
      <c r="CV6" s="79">
        <f>(AV6+AY6+BB6+BE6)/4</f>
        <v>63.75</v>
      </c>
      <c r="CW6" s="79">
        <f>(BI6+BL6+BO6+BR6)/4</f>
        <v>63</v>
      </c>
      <c r="CX6" s="79">
        <f>(BV6+BY6+CB6+CE6)/4</f>
        <v>65.25</v>
      </c>
      <c r="CY6" s="79">
        <f>(CI6+CL6+CO6+CR6)/4</f>
        <v>64</v>
      </c>
      <c r="CZ6" s="18"/>
      <c r="DA6" s="80">
        <f>SUM(CV6:CY6)/4</f>
        <v>64</v>
      </c>
      <c r="DB6" s="18"/>
      <c r="DC6" s="79">
        <f>DA6*0.5</f>
        <v>32</v>
      </c>
      <c r="DD6" s="75"/>
      <c r="DE6" s="79">
        <f>DD6*0.5</f>
        <v>0</v>
      </c>
      <c r="DF6" s="81">
        <f>DE6+DC6</f>
        <v>32</v>
      </c>
      <c r="DG6" s="18"/>
      <c r="DH6" s="79">
        <f>DA6*0.3</f>
        <v>19.2</v>
      </c>
      <c r="DI6" s="75"/>
      <c r="DJ6" s="79">
        <f>DI6*0.7</f>
        <v>0</v>
      </c>
      <c r="DK6" s="81">
        <f>DJ6+DH6</f>
        <v>19.2</v>
      </c>
    </row>
    <row r="7" ht="16.5" customHeight="1">
      <c r="A7" s="31">
        <v>1</v>
      </c>
      <c r="B7" s="106">
        <v>3</v>
      </c>
      <c r="C7" t="s" s="70">
        <v>715</v>
      </c>
      <c r="D7" t="s" s="71">
        <v>716</v>
      </c>
      <c r="E7" t="s" s="72">
        <v>43</v>
      </c>
      <c r="F7" t="s" s="113">
        <v>161</v>
      </c>
      <c r="G7" t="s" s="72">
        <v>43</v>
      </c>
      <c r="H7" t="s" s="113">
        <v>43</v>
      </c>
      <c r="I7" s="74"/>
      <c r="J7" t="s" s="113">
        <v>43</v>
      </c>
      <c r="K7" t="s" s="83">
        <v>43</v>
      </c>
      <c r="L7" t="s" s="83">
        <v>161</v>
      </c>
      <c r="M7" s="79">
        <v>8</v>
      </c>
      <c r="N7" s="79">
        <v>10</v>
      </c>
      <c r="O7" s="79">
        <v>9</v>
      </c>
      <c r="P7" s="79">
        <v>9</v>
      </c>
      <c r="Q7" s="79">
        <v>8</v>
      </c>
      <c r="R7" s="79">
        <f>O7+P7+Q7</f>
        <v>26</v>
      </c>
      <c r="S7" s="79">
        <v>10</v>
      </c>
      <c r="T7" s="76"/>
      <c r="U7" s="79">
        <v>10</v>
      </c>
      <c r="V7" s="75"/>
      <c r="W7" s="79">
        <f>V7+U7+T7+S7+R7+Q7+P7+O7+N7+M7</f>
        <v>90</v>
      </c>
      <c r="X7" s="75"/>
      <c r="Y7" s="79">
        <v>5</v>
      </c>
      <c r="Z7" s="110">
        <v>10</v>
      </c>
      <c r="AA7" s="79">
        <v>10</v>
      </c>
      <c r="AB7" s="110">
        <v>10</v>
      </c>
      <c r="AC7" s="79">
        <v>16</v>
      </c>
      <c r="AD7" s="110">
        <v>10</v>
      </c>
      <c r="AE7" s="110">
        <v>30</v>
      </c>
      <c r="AF7" s="111">
        <f>Y7+Z7+AA7+AB7+AC7+AD7+AE7</f>
        <v>91</v>
      </c>
      <c r="AG7" s="75"/>
      <c r="AH7" t="s" s="83">
        <v>717</v>
      </c>
      <c r="AI7" s="76"/>
      <c r="AJ7" s="78">
        <v>3</v>
      </c>
      <c r="AK7" s="110">
        <v>10</v>
      </c>
      <c r="AL7" s="79">
        <v>20</v>
      </c>
      <c r="AM7" s="110">
        <v>20</v>
      </c>
      <c r="AN7" s="79">
        <v>10</v>
      </c>
      <c r="AO7" s="79">
        <v>10</v>
      </c>
      <c r="AP7" s="110">
        <v>10</v>
      </c>
      <c r="AQ7" s="79">
        <v>7</v>
      </c>
      <c r="AR7" s="110">
        <v>10</v>
      </c>
      <c r="AS7" s="79">
        <f>SUM(AK7:AR7)</f>
        <v>97</v>
      </c>
      <c r="AT7" s="18"/>
      <c r="AU7" s="78">
        <v>3</v>
      </c>
      <c r="AV7" s="110">
        <f>AS7+0</f>
        <v>97</v>
      </c>
      <c r="AW7" s="75"/>
      <c r="AX7" s="18"/>
      <c r="AY7" s="110">
        <f>AF7</f>
        <v>91</v>
      </c>
      <c r="AZ7" s="75"/>
      <c r="BA7" s="18"/>
      <c r="BB7" s="110">
        <f>W7</f>
        <v>90</v>
      </c>
      <c r="BC7" s="75"/>
      <c r="BD7" s="18"/>
      <c r="BE7" s="76"/>
      <c r="BF7" s="75"/>
      <c r="BG7" s="18"/>
      <c r="BH7" s="78">
        <v>3</v>
      </c>
      <c r="BI7" s="110">
        <f>AS7-1</f>
        <v>96</v>
      </c>
      <c r="BJ7" s="75"/>
      <c r="BK7" s="18"/>
      <c r="BL7" s="110">
        <f>AF7-1</f>
        <v>90</v>
      </c>
      <c r="BM7" s="75"/>
      <c r="BN7" s="18"/>
      <c r="BO7" s="110">
        <f>W7-1</f>
        <v>89</v>
      </c>
      <c r="BP7" s="75"/>
      <c r="BQ7" s="18"/>
      <c r="BR7" s="76"/>
      <c r="BS7" s="75"/>
      <c r="BT7" s="18"/>
      <c r="BU7" s="78">
        <v>3</v>
      </c>
      <c r="BV7" s="110">
        <f>AS7+2</f>
        <v>99</v>
      </c>
      <c r="BW7" s="75"/>
      <c r="BX7" s="18"/>
      <c r="BY7" s="110">
        <f>AF7+2</f>
        <v>93</v>
      </c>
      <c r="BZ7" s="75"/>
      <c r="CA7" s="18"/>
      <c r="CB7" s="110">
        <f>W7+2</f>
        <v>92</v>
      </c>
      <c r="CC7" s="75"/>
      <c r="CD7" s="18"/>
      <c r="CE7" s="76"/>
      <c r="CF7" s="75"/>
      <c r="CG7" s="18"/>
      <c r="CH7" s="78">
        <v>3</v>
      </c>
      <c r="CI7" s="110">
        <f>AS7-1</f>
        <v>96</v>
      </c>
      <c r="CJ7" s="75"/>
      <c r="CK7" s="18"/>
      <c r="CL7" s="110">
        <f>AF7+1</f>
        <v>92</v>
      </c>
      <c r="CM7" s="75"/>
      <c r="CN7" s="18"/>
      <c r="CO7" s="110">
        <f>W7+1</f>
        <v>91</v>
      </c>
      <c r="CP7" s="75"/>
      <c r="CQ7" s="18"/>
      <c r="CR7" s="76"/>
      <c r="CS7" s="75"/>
      <c r="CT7" s="18"/>
      <c r="CU7" s="78">
        <v>3</v>
      </c>
      <c r="CV7" s="79">
        <f>(AV7+AY7+BB7+BE7)/4</f>
        <v>69.5</v>
      </c>
      <c r="CW7" s="79">
        <f>(BI7+BL7+BO7+BR7)/4</f>
        <v>68.75</v>
      </c>
      <c r="CX7" s="79">
        <f>(BV7+BY7+CB7+CE7)/4</f>
        <v>71</v>
      </c>
      <c r="CY7" s="79">
        <f>(CI7+CL7+CO7+CR7)/4</f>
        <v>69.75</v>
      </c>
      <c r="CZ7" s="18"/>
      <c r="DA7" s="80">
        <f>SUM(CV7:CY7)/4</f>
        <v>69.75</v>
      </c>
      <c r="DB7" s="18"/>
      <c r="DC7" s="79">
        <f>DA7*0.5</f>
        <v>34.875</v>
      </c>
      <c r="DD7" s="75"/>
      <c r="DE7" s="79">
        <f>DD7*0.5</f>
        <v>0</v>
      </c>
      <c r="DF7" s="81">
        <f>DE7+DC7</f>
        <v>34.875</v>
      </c>
      <c r="DG7" s="18"/>
      <c r="DH7" s="79">
        <f>DA7*0.3</f>
        <v>20.925</v>
      </c>
      <c r="DI7" s="75"/>
      <c r="DJ7" s="79">
        <f>DI7*0.7</f>
        <v>0</v>
      </c>
      <c r="DK7" s="81">
        <f>DJ7+DH7</f>
        <v>20.925</v>
      </c>
    </row>
    <row r="8" ht="16.5" customHeight="1">
      <c r="A8" s="105"/>
      <c r="B8" s="106">
        <v>4</v>
      </c>
      <c r="C8" t="s" s="70">
        <v>718</v>
      </c>
      <c r="D8" t="s" s="71">
        <v>719</v>
      </c>
      <c r="E8" t="s" s="72">
        <v>43</v>
      </c>
      <c r="F8" t="s" s="113">
        <v>43</v>
      </c>
      <c r="G8" t="s" s="72">
        <v>43</v>
      </c>
      <c r="H8" t="s" s="113">
        <v>43</v>
      </c>
      <c r="I8" s="74"/>
      <c r="J8" t="s" s="113">
        <v>43</v>
      </c>
      <c r="K8" t="s" s="83">
        <v>43</v>
      </c>
      <c r="L8" t="s" s="83">
        <v>43</v>
      </c>
      <c r="M8" s="79">
        <v>10</v>
      </c>
      <c r="N8" s="79">
        <v>18</v>
      </c>
      <c r="O8" s="79">
        <v>8</v>
      </c>
      <c r="P8" s="79">
        <v>9</v>
      </c>
      <c r="Q8" s="79">
        <v>8.5</v>
      </c>
      <c r="R8" s="79">
        <f>O8+P8+Q8</f>
        <v>25.5</v>
      </c>
      <c r="S8" s="79">
        <v>10</v>
      </c>
      <c r="T8" s="76"/>
      <c r="U8" s="79">
        <v>7</v>
      </c>
      <c r="V8" s="75"/>
      <c r="W8" s="79">
        <f>V8+U8+T8+S8+R8+Q8+P8+O8+N8+M8</f>
        <v>96</v>
      </c>
      <c r="X8" s="75"/>
      <c r="Y8" s="79">
        <v>10</v>
      </c>
      <c r="Z8" s="110">
        <v>10</v>
      </c>
      <c r="AA8" s="79">
        <v>10</v>
      </c>
      <c r="AB8" s="110">
        <v>10</v>
      </c>
      <c r="AC8" s="79">
        <v>19</v>
      </c>
      <c r="AD8" s="110">
        <v>10</v>
      </c>
      <c r="AE8" s="110">
        <v>30</v>
      </c>
      <c r="AF8" s="111">
        <f>Y8+Z8+AA8+AB8+AC8+AD8+AE8</f>
        <v>99</v>
      </c>
      <c r="AG8" s="75"/>
      <c r="AH8" t="s" s="83">
        <v>720</v>
      </c>
      <c r="AI8" s="76"/>
      <c r="AJ8" s="78">
        <v>4</v>
      </c>
      <c r="AK8" s="110">
        <v>10</v>
      </c>
      <c r="AL8" s="79">
        <v>20</v>
      </c>
      <c r="AM8" s="110">
        <v>20</v>
      </c>
      <c r="AN8" s="79">
        <v>10</v>
      </c>
      <c r="AO8" s="79">
        <v>10</v>
      </c>
      <c r="AP8" s="110">
        <v>8</v>
      </c>
      <c r="AQ8" s="79">
        <v>7</v>
      </c>
      <c r="AR8" s="110">
        <v>10</v>
      </c>
      <c r="AS8" s="79">
        <f>SUM(AK8:AR8)</f>
        <v>95</v>
      </c>
      <c r="AT8" s="18"/>
      <c r="AU8" s="78">
        <v>4</v>
      </c>
      <c r="AV8" s="110">
        <f>AS8+0</f>
        <v>95</v>
      </c>
      <c r="AW8" s="75"/>
      <c r="AX8" s="18"/>
      <c r="AY8" s="110">
        <f>AF8</f>
        <v>99</v>
      </c>
      <c r="AZ8" s="75"/>
      <c r="BA8" s="18"/>
      <c r="BB8" s="110">
        <f>W8</f>
        <v>96</v>
      </c>
      <c r="BC8" s="75"/>
      <c r="BD8" s="18"/>
      <c r="BE8" s="76"/>
      <c r="BF8" s="75"/>
      <c r="BG8" s="18"/>
      <c r="BH8" s="78">
        <v>4</v>
      </c>
      <c r="BI8" s="110">
        <f>AS8-1</f>
        <v>94</v>
      </c>
      <c r="BJ8" s="75"/>
      <c r="BK8" s="18"/>
      <c r="BL8" s="110">
        <f>AF8-1</f>
        <v>98</v>
      </c>
      <c r="BM8" s="75"/>
      <c r="BN8" s="18"/>
      <c r="BO8" s="110">
        <f>W8-1</f>
        <v>95</v>
      </c>
      <c r="BP8" s="75"/>
      <c r="BQ8" s="18"/>
      <c r="BR8" s="76"/>
      <c r="BS8" s="75"/>
      <c r="BT8" s="18"/>
      <c r="BU8" s="78">
        <v>4</v>
      </c>
      <c r="BV8" s="110">
        <f>AS8+2</f>
        <v>97</v>
      </c>
      <c r="BW8" s="75"/>
      <c r="BX8" s="18"/>
      <c r="BY8" s="110">
        <v>100</v>
      </c>
      <c r="BZ8" s="75"/>
      <c r="CA8" s="18"/>
      <c r="CB8" s="110">
        <f>W8+2</f>
        <v>98</v>
      </c>
      <c r="CC8" s="75"/>
      <c r="CD8" s="18"/>
      <c r="CE8" s="76"/>
      <c r="CF8" s="75"/>
      <c r="CG8" s="18"/>
      <c r="CH8" s="78">
        <v>4</v>
      </c>
      <c r="CI8" s="110">
        <f>AS8-1</f>
        <v>94</v>
      </c>
      <c r="CJ8" s="75"/>
      <c r="CK8" s="18"/>
      <c r="CL8" s="110">
        <f>AF8+1</f>
        <v>100</v>
      </c>
      <c r="CM8" s="75"/>
      <c r="CN8" s="18"/>
      <c r="CO8" s="110">
        <f>W8+1</f>
        <v>97</v>
      </c>
      <c r="CP8" s="75"/>
      <c r="CQ8" s="18"/>
      <c r="CR8" s="76"/>
      <c r="CS8" s="75"/>
      <c r="CT8" s="18"/>
      <c r="CU8" s="78">
        <v>4</v>
      </c>
      <c r="CV8" s="79">
        <f>(AV8+AY8+BB8+BE8)/4</f>
        <v>72.5</v>
      </c>
      <c r="CW8" s="79">
        <f>(BI8+BL8+BO8+BR8)/4</f>
        <v>71.75</v>
      </c>
      <c r="CX8" s="79">
        <f>(BV8+BY8+CB8+CE8)/4</f>
        <v>73.75</v>
      </c>
      <c r="CY8" s="79">
        <f>(CI8+CL8+CO8+CR8)/4</f>
        <v>72.75</v>
      </c>
      <c r="CZ8" s="18"/>
      <c r="DA8" s="80">
        <f>SUM(CV8:CY8)/4</f>
        <v>72.6875</v>
      </c>
      <c r="DB8" s="18"/>
      <c r="DC8" s="79">
        <f>DA8*0.5</f>
        <v>36.34375</v>
      </c>
      <c r="DD8" s="75"/>
      <c r="DE8" s="79">
        <f>DD8*0.5</f>
        <v>0</v>
      </c>
      <c r="DF8" s="81">
        <f>DE8+DC8</f>
        <v>36.34375</v>
      </c>
      <c r="DG8" s="18"/>
      <c r="DH8" s="79">
        <f>DA8*0.3</f>
        <v>21.80625</v>
      </c>
      <c r="DI8" s="75"/>
      <c r="DJ8" s="79">
        <f>DI8*0.7</f>
        <v>0</v>
      </c>
      <c r="DK8" s="81">
        <f>DJ8+DH8</f>
        <v>21.80625</v>
      </c>
    </row>
    <row r="9" ht="16.5" customHeight="1">
      <c r="A9" s="31">
        <v>1</v>
      </c>
      <c r="B9" s="106">
        <v>5</v>
      </c>
      <c r="C9" t="s" s="311">
        <v>721</v>
      </c>
      <c r="D9" t="s" s="262">
        <v>722</v>
      </c>
      <c r="E9" t="s" s="72">
        <v>43</v>
      </c>
      <c r="F9" t="s" s="113">
        <v>723</v>
      </c>
      <c r="G9" t="s" s="72">
        <v>43</v>
      </c>
      <c r="H9" t="s" s="113">
        <v>43</v>
      </c>
      <c r="I9" s="74"/>
      <c r="J9" t="s" s="113">
        <v>43</v>
      </c>
      <c r="K9" t="s" s="83">
        <v>43</v>
      </c>
      <c r="L9" t="s" s="83">
        <v>43</v>
      </c>
      <c r="M9" s="79">
        <v>10</v>
      </c>
      <c r="N9" s="75"/>
      <c r="O9" s="79">
        <v>8</v>
      </c>
      <c r="P9" s="79">
        <v>8</v>
      </c>
      <c r="Q9" s="79">
        <v>7</v>
      </c>
      <c r="R9" s="79">
        <f>O9+P9+Q9</f>
        <v>23</v>
      </c>
      <c r="S9" s="79">
        <v>8</v>
      </c>
      <c r="T9" s="76"/>
      <c r="U9" s="79">
        <v>6</v>
      </c>
      <c r="V9" s="75"/>
      <c r="W9" s="79">
        <f>V9+U9+T9+S9+R9+Q9+P9+O9+N9+M9</f>
        <v>70</v>
      </c>
      <c r="X9" s="75"/>
      <c r="Y9" s="79">
        <v>5</v>
      </c>
      <c r="Z9" s="110">
        <v>10</v>
      </c>
      <c r="AA9" s="79">
        <v>8</v>
      </c>
      <c r="AB9" s="110">
        <v>9</v>
      </c>
      <c r="AC9" s="79">
        <v>20</v>
      </c>
      <c r="AD9" s="110">
        <v>5</v>
      </c>
      <c r="AE9" s="110">
        <v>30</v>
      </c>
      <c r="AF9" s="111">
        <f>Y9+Z9+AA9+AB9+AC9+AD9+AE9</f>
        <v>87</v>
      </c>
      <c r="AG9" s="75"/>
      <c r="AH9" t="s" s="83">
        <v>724</v>
      </c>
      <c r="AI9" s="76"/>
      <c r="AJ9" s="78">
        <v>5</v>
      </c>
      <c r="AK9" s="123">
        <v>10</v>
      </c>
      <c r="AL9" s="123">
        <v>0</v>
      </c>
      <c r="AM9" s="123">
        <v>20</v>
      </c>
      <c r="AN9" s="123">
        <v>0</v>
      </c>
      <c r="AO9" s="123">
        <v>5</v>
      </c>
      <c r="AP9" s="123">
        <v>9</v>
      </c>
      <c r="AQ9" s="123">
        <v>7</v>
      </c>
      <c r="AR9" s="123">
        <v>10</v>
      </c>
      <c r="AS9" s="123">
        <f>SUM(AK9:AR9)</f>
        <v>61</v>
      </c>
      <c r="AT9" s="18"/>
      <c r="AU9" s="78">
        <v>5</v>
      </c>
      <c r="AV9" s="110">
        <f>AS9+0</f>
        <v>61</v>
      </c>
      <c r="AW9" s="79">
        <v>75</v>
      </c>
      <c r="AX9" s="18"/>
      <c r="AY9" s="110">
        <f>AF9</f>
        <v>87</v>
      </c>
      <c r="AZ9" s="75"/>
      <c r="BA9" s="18"/>
      <c r="BB9" s="110">
        <v>80</v>
      </c>
      <c r="BC9" s="75"/>
      <c r="BD9" s="18"/>
      <c r="BE9" s="76"/>
      <c r="BF9" s="75"/>
      <c r="BG9" s="18"/>
      <c r="BH9" s="78">
        <v>5</v>
      </c>
      <c r="BI9" s="110">
        <f>AS9-1</f>
        <v>60</v>
      </c>
      <c r="BJ9" s="79">
        <v>75</v>
      </c>
      <c r="BK9" s="18"/>
      <c r="BL9" s="110">
        <f>AF9-1</f>
        <v>86</v>
      </c>
      <c r="BM9" s="75"/>
      <c r="BN9" s="18"/>
      <c r="BO9" s="110">
        <v>74</v>
      </c>
      <c r="BP9" s="75"/>
      <c r="BQ9" s="18"/>
      <c r="BR9" s="76"/>
      <c r="BS9" s="75"/>
      <c r="BT9" s="18"/>
      <c r="BU9" s="78">
        <v>5</v>
      </c>
      <c r="BV9" s="110">
        <f>AS9+2</f>
        <v>63</v>
      </c>
      <c r="BW9" s="79">
        <v>75</v>
      </c>
      <c r="BX9" s="18"/>
      <c r="BY9" s="110">
        <f>AF9+2</f>
        <v>89</v>
      </c>
      <c r="BZ9" s="75"/>
      <c r="CA9" s="18"/>
      <c r="CB9" s="110">
        <v>73</v>
      </c>
      <c r="CC9" s="75"/>
      <c r="CD9" s="18"/>
      <c r="CE9" s="76"/>
      <c r="CF9" s="75"/>
      <c r="CG9" s="18"/>
      <c r="CH9" s="78">
        <v>5</v>
      </c>
      <c r="CI9" s="110">
        <f>AS9-1</f>
        <v>60</v>
      </c>
      <c r="CJ9" s="79">
        <v>75</v>
      </c>
      <c r="CK9" s="18"/>
      <c r="CL9" s="110">
        <f>AF9+1</f>
        <v>88</v>
      </c>
      <c r="CM9" s="75"/>
      <c r="CN9" s="18"/>
      <c r="CO9" s="110">
        <v>74</v>
      </c>
      <c r="CP9" s="75"/>
      <c r="CQ9" s="18"/>
      <c r="CR9" s="76"/>
      <c r="CS9" s="75"/>
      <c r="CT9" s="18"/>
      <c r="CU9" s="78">
        <v>5</v>
      </c>
      <c r="CV9" s="79">
        <f>(AV9+AY9+BB9+BE9)/4</f>
        <v>57</v>
      </c>
      <c r="CW9" s="79">
        <f>(BI9+BL9+BO9+BR9)/4</f>
        <v>55</v>
      </c>
      <c r="CX9" s="79">
        <f>(BV9+BY9+CB9+CE9)/4</f>
        <v>56.25</v>
      </c>
      <c r="CY9" s="79">
        <f>(CI9+CL9+CO9+CR9)/4</f>
        <v>55.5</v>
      </c>
      <c r="CZ9" s="18"/>
      <c r="DA9" s="80">
        <f>SUM(CV9:CY9)/4</f>
        <v>55.9375</v>
      </c>
      <c r="DB9" s="18"/>
      <c r="DC9" s="79">
        <f>DA9*0.5</f>
        <v>27.96875</v>
      </c>
      <c r="DD9" s="75"/>
      <c r="DE9" s="79">
        <f>DD9*0.5</f>
        <v>0</v>
      </c>
      <c r="DF9" s="81">
        <f>DE9+DC9</f>
        <v>27.96875</v>
      </c>
      <c r="DG9" s="18"/>
      <c r="DH9" s="79">
        <f>DA9*0.3</f>
        <v>16.78125</v>
      </c>
      <c r="DI9" s="75"/>
      <c r="DJ9" s="79">
        <f>DI9*0.7</f>
        <v>0</v>
      </c>
      <c r="DK9" s="81">
        <f>DJ9+DH9</f>
        <v>16.78125</v>
      </c>
    </row>
    <row r="10" ht="16.5" customHeight="1">
      <c r="A10" s="105"/>
      <c r="B10" s="106">
        <v>6</v>
      </c>
      <c r="C10" t="s" s="70">
        <v>411</v>
      </c>
      <c r="D10" t="s" s="71">
        <v>725</v>
      </c>
      <c r="E10" t="s" s="72">
        <v>43</v>
      </c>
      <c r="F10" t="s" s="113">
        <v>43</v>
      </c>
      <c r="G10" t="s" s="72">
        <v>43</v>
      </c>
      <c r="H10" t="s" s="113">
        <v>43</v>
      </c>
      <c r="I10" s="74"/>
      <c r="J10" t="s" s="113">
        <v>43</v>
      </c>
      <c r="K10" t="s" s="83">
        <v>43</v>
      </c>
      <c r="L10" t="s" s="83">
        <v>43</v>
      </c>
      <c r="M10" s="79">
        <v>10</v>
      </c>
      <c r="N10" s="79">
        <v>20</v>
      </c>
      <c r="O10" s="75"/>
      <c r="P10" s="75"/>
      <c r="Q10" s="75"/>
      <c r="R10" s="79">
        <f>O10+P10+Q10</f>
        <v>0</v>
      </c>
      <c r="S10" s="79">
        <v>10</v>
      </c>
      <c r="T10" s="76"/>
      <c r="U10" s="79">
        <v>7</v>
      </c>
      <c r="V10" s="75"/>
      <c r="W10" s="123">
        <f>V10+U10+T10+S10+R10+Q10+P10+O10+N10+M10</f>
        <v>47</v>
      </c>
      <c r="X10" s="75"/>
      <c r="Y10" s="79">
        <v>10</v>
      </c>
      <c r="Z10" s="110">
        <v>10</v>
      </c>
      <c r="AA10" s="79">
        <v>10</v>
      </c>
      <c r="AB10" s="110">
        <v>10</v>
      </c>
      <c r="AC10" s="79">
        <v>15</v>
      </c>
      <c r="AD10" s="110">
        <v>10</v>
      </c>
      <c r="AE10" s="110">
        <v>30</v>
      </c>
      <c r="AF10" s="111">
        <f>Y10+Z10+AA10+AB10+AC10+AD10+AE10</f>
        <v>95</v>
      </c>
      <c r="AG10" s="75"/>
      <c r="AH10" t="s" s="83">
        <v>726</v>
      </c>
      <c r="AI10" s="76"/>
      <c r="AJ10" s="78">
        <v>6</v>
      </c>
      <c r="AK10" s="110">
        <v>10</v>
      </c>
      <c r="AL10" s="79">
        <v>8</v>
      </c>
      <c r="AM10" s="110">
        <v>20</v>
      </c>
      <c r="AN10" s="79">
        <v>10</v>
      </c>
      <c r="AO10" s="79">
        <v>5</v>
      </c>
      <c r="AP10" s="110">
        <v>10</v>
      </c>
      <c r="AQ10" s="79">
        <v>7</v>
      </c>
      <c r="AR10" s="110">
        <v>10</v>
      </c>
      <c r="AS10" s="79">
        <f>SUM(AK10:AR10)</f>
        <v>80</v>
      </c>
      <c r="AT10" s="18"/>
      <c r="AU10" s="78">
        <v>6</v>
      </c>
      <c r="AV10" s="110">
        <f>AS10+0</f>
        <v>80</v>
      </c>
      <c r="AW10" s="75"/>
      <c r="AX10" s="18"/>
      <c r="AY10" s="110">
        <f>AF10</f>
        <v>95</v>
      </c>
      <c r="AZ10" s="75"/>
      <c r="BA10" s="18"/>
      <c r="BB10" s="110">
        <f>W10</f>
        <v>47</v>
      </c>
      <c r="BC10" s="75"/>
      <c r="BD10" s="18"/>
      <c r="BE10" s="76"/>
      <c r="BF10" s="75"/>
      <c r="BG10" s="18"/>
      <c r="BH10" s="78">
        <v>6</v>
      </c>
      <c r="BI10" s="110">
        <f>AS10-1</f>
        <v>79</v>
      </c>
      <c r="BJ10" s="75"/>
      <c r="BK10" s="18"/>
      <c r="BL10" s="110">
        <f>AF10-1</f>
        <v>94</v>
      </c>
      <c r="BM10" s="75"/>
      <c r="BN10" s="18"/>
      <c r="BO10" s="110">
        <f>W10-1</f>
        <v>46</v>
      </c>
      <c r="BP10" s="75"/>
      <c r="BQ10" s="18"/>
      <c r="BR10" s="76"/>
      <c r="BS10" s="75"/>
      <c r="BT10" s="18"/>
      <c r="BU10" s="78">
        <v>6</v>
      </c>
      <c r="BV10" s="110">
        <f>AS10+2</f>
        <v>82</v>
      </c>
      <c r="BW10" s="75"/>
      <c r="BX10" s="18"/>
      <c r="BY10" s="110">
        <f>AF10+2</f>
        <v>97</v>
      </c>
      <c r="BZ10" s="75"/>
      <c r="CA10" s="18"/>
      <c r="CB10" s="110">
        <f>W10+2</f>
        <v>49</v>
      </c>
      <c r="CC10" s="75"/>
      <c r="CD10" s="18"/>
      <c r="CE10" s="76"/>
      <c r="CF10" s="75"/>
      <c r="CG10" s="18"/>
      <c r="CH10" s="78">
        <v>6</v>
      </c>
      <c r="CI10" s="110">
        <f>AS10-1</f>
        <v>79</v>
      </c>
      <c r="CJ10" s="75"/>
      <c r="CK10" s="18"/>
      <c r="CL10" s="110">
        <f>AF10+1</f>
        <v>96</v>
      </c>
      <c r="CM10" s="75"/>
      <c r="CN10" s="18"/>
      <c r="CO10" s="110">
        <f>W10+1</f>
        <v>48</v>
      </c>
      <c r="CP10" s="75"/>
      <c r="CQ10" s="18"/>
      <c r="CR10" s="76"/>
      <c r="CS10" s="75"/>
      <c r="CT10" s="18"/>
      <c r="CU10" s="78">
        <v>6</v>
      </c>
      <c r="CV10" s="79">
        <f>(AV10+AY10+BB10+BE10)/4</f>
        <v>55.5</v>
      </c>
      <c r="CW10" s="79">
        <f>(BI10+BL10+BO10+BR10)/4</f>
        <v>54.75</v>
      </c>
      <c r="CX10" s="79">
        <f>(BV10+BY10+CB10+CE10)/4</f>
        <v>57</v>
      </c>
      <c r="CY10" s="79">
        <f>(CI10+CL10+CO10+CR10)/4</f>
        <v>55.75</v>
      </c>
      <c r="CZ10" s="18"/>
      <c r="DA10" s="80">
        <f>SUM(CV10:CY10)/4</f>
        <v>55.75</v>
      </c>
      <c r="DB10" s="18"/>
      <c r="DC10" s="79">
        <f>DA10*0.5</f>
        <v>27.875</v>
      </c>
      <c r="DD10" s="75"/>
      <c r="DE10" s="79">
        <f>DD10*0.5</f>
        <v>0</v>
      </c>
      <c r="DF10" s="81">
        <f>DE10+DC10</f>
        <v>27.875</v>
      </c>
      <c r="DG10" s="18"/>
      <c r="DH10" s="79">
        <f>DA10*0.3</f>
        <v>16.725</v>
      </c>
      <c r="DI10" s="75"/>
      <c r="DJ10" s="79">
        <f>DI10*0.7</f>
        <v>0</v>
      </c>
      <c r="DK10" s="81">
        <f>DJ10+DH10</f>
        <v>16.725</v>
      </c>
    </row>
    <row r="11" ht="16.5" customHeight="1">
      <c r="A11" s="31">
        <v>1</v>
      </c>
      <c r="B11" s="106">
        <v>7</v>
      </c>
      <c r="C11" t="s" s="70">
        <v>727</v>
      </c>
      <c r="D11" t="s" s="71">
        <v>728</v>
      </c>
      <c r="E11" t="s" s="72">
        <v>43</v>
      </c>
      <c r="F11" t="s" s="113">
        <v>43</v>
      </c>
      <c r="G11" t="s" s="72">
        <v>43</v>
      </c>
      <c r="H11" t="s" s="113">
        <v>43</v>
      </c>
      <c r="I11" s="74"/>
      <c r="J11" t="s" s="113">
        <v>161</v>
      </c>
      <c r="K11" t="s" s="83">
        <v>43</v>
      </c>
      <c r="L11" t="s" s="83">
        <v>43</v>
      </c>
      <c r="M11" s="79">
        <v>10</v>
      </c>
      <c r="N11" s="79">
        <v>10</v>
      </c>
      <c r="O11" s="75"/>
      <c r="P11" s="79">
        <v>1</v>
      </c>
      <c r="Q11" s="75"/>
      <c r="R11" s="79">
        <f>O11+P11+Q11</f>
        <v>1</v>
      </c>
      <c r="S11" s="79">
        <v>10</v>
      </c>
      <c r="T11" s="76"/>
      <c r="U11" s="79">
        <v>0</v>
      </c>
      <c r="V11" s="75"/>
      <c r="W11" s="123">
        <f>V11+U11+T11+S11+R11+Q11+P11+O11+N11+M11</f>
        <v>32</v>
      </c>
      <c r="X11" s="75"/>
      <c r="Y11" s="79">
        <v>5</v>
      </c>
      <c r="Z11" s="110">
        <v>10</v>
      </c>
      <c r="AA11" s="79">
        <v>10</v>
      </c>
      <c r="AB11" s="110">
        <v>10</v>
      </c>
      <c r="AC11" s="79">
        <v>17</v>
      </c>
      <c r="AD11" s="110">
        <v>10</v>
      </c>
      <c r="AE11" s="110">
        <v>30</v>
      </c>
      <c r="AF11" s="111">
        <f>Y11+Z11+AA11+AB11+AC11+AD11+AE11</f>
        <v>92</v>
      </c>
      <c r="AG11" s="75"/>
      <c r="AH11" t="s" s="83">
        <v>729</v>
      </c>
      <c r="AI11" s="76"/>
      <c r="AJ11" s="78">
        <v>7</v>
      </c>
      <c r="AK11" s="123">
        <v>10</v>
      </c>
      <c r="AL11" s="123">
        <v>0</v>
      </c>
      <c r="AM11" s="123">
        <v>20</v>
      </c>
      <c r="AN11" s="123">
        <v>0</v>
      </c>
      <c r="AO11" s="123">
        <v>0</v>
      </c>
      <c r="AP11" s="123">
        <v>7</v>
      </c>
      <c r="AQ11" s="123">
        <v>7</v>
      </c>
      <c r="AR11" s="123">
        <v>10</v>
      </c>
      <c r="AS11" s="123">
        <f>SUM(AK11:AR11)</f>
        <v>54</v>
      </c>
      <c r="AT11" s="18"/>
      <c r="AU11" s="78">
        <v>7</v>
      </c>
      <c r="AV11" s="110">
        <f>AS11+0</f>
        <v>54</v>
      </c>
      <c r="AW11" s="79">
        <v>85</v>
      </c>
      <c r="AX11" s="18"/>
      <c r="AY11" s="110">
        <f>AF11</f>
        <v>92</v>
      </c>
      <c r="AZ11" s="75"/>
      <c r="BA11" s="18"/>
      <c r="BB11" s="110">
        <f>W11</f>
        <v>32</v>
      </c>
      <c r="BC11" s="75"/>
      <c r="BD11" s="18"/>
      <c r="BE11" s="76"/>
      <c r="BF11" s="75"/>
      <c r="BG11" s="18"/>
      <c r="BH11" s="78">
        <v>7</v>
      </c>
      <c r="BI11" s="110">
        <f>AS11-1</f>
        <v>53</v>
      </c>
      <c r="BJ11" s="79">
        <v>85</v>
      </c>
      <c r="BK11" s="18"/>
      <c r="BL11" s="110">
        <f>AF11-1</f>
        <v>91</v>
      </c>
      <c r="BM11" s="75"/>
      <c r="BN11" s="18"/>
      <c r="BO11" s="110">
        <f>W11-1</f>
        <v>31</v>
      </c>
      <c r="BP11" s="75"/>
      <c r="BQ11" s="18"/>
      <c r="BR11" s="76"/>
      <c r="BS11" s="75"/>
      <c r="BT11" s="18"/>
      <c r="BU11" s="78">
        <v>7</v>
      </c>
      <c r="BV11" s="110">
        <f>AS11+2</f>
        <v>56</v>
      </c>
      <c r="BW11" s="79">
        <v>85</v>
      </c>
      <c r="BX11" s="18"/>
      <c r="BY11" s="110">
        <f>AF11+2</f>
        <v>94</v>
      </c>
      <c r="BZ11" s="75"/>
      <c r="CA11" s="18"/>
      <c r="CB11" s="110">
        <f>W11+2</f>
        <v>34</v>
      </c>
      <c r="CC11" s="75"/>
      <c r="CD11" s="18"/>
      <c r="CE11" s="76"/>
      <c r="CF11" s="75"/>
      <c r="CG11" s="18"/>
      <c r="CH11" s="78">
        <v>7</v>
      </c>
      <c r="CI11" s="110">
        <f>AS11-1</f>
        <v>53</v>
      </c>
      <c r="CJ11" s="79">
        <v>85</v>
      </c>
      <c r="CK11" s="18"/>
      <c r="CL11" s="110">
        <f>AF11+1</f>
        <v>93</v>
      </c>
      <c r="CM11" s="75"/>
      <c r="CN11" s="18"/>
      <c r="CO11" s="110">
        <f>W11+1</f>
        <v>33</v>
      </c>
      <c r="CP11" s="75"/>
      <c r="CQ11" s="18"/>
      <c r="CR11" s="76"/>
      <c r="CS11" s="75"/>
      <c r="CT11" s="18"/>
      <c r="CU11" s="78">
        <v>7</v>
      </c>
      <c r="CV11" s="79">
        <f>(AV11+AY11+BB11+BE11)/4</f>
        <v>44.5</v>
      </c>
      <c r="CW11" s="79">
        <f>(BI11+BL11+BO11+BR11)/4</f>
        <v>43.75</v>
      </c>
      <c r="CX11" s="79">
        <f>(BV11+BY11+CB11+CE11)/4</f>
        <v>46</v>
      </c>
      <c r="CY11" s="79">
        <f>(CI11+CL11+CO11+CR11)/4</f>
        <v>44.75</v>
      </c>
      <c r="CZ11" s="18"/>
      <c r="DA11" s="80">
        <f>SUM(CV11:CY11)/4</f>
        <v>44.75</v>
      </c>
      <c r="DB11" s="18"/>
      <c r="DC11" s="79">
        <f>DA11*0.5</f>
        <v>22.375</v>
      </c>
      <c r="DD11" s="75"/>
      <c r="DE11" s="79">
        <f>DD11*0.5</f>
        <v>0</v>
      </c>
      <c r="DF11" s="81">
        <f>DE11+DC11</f>
        <v>22.375</v>
      </c>
      <c r="DG11" s="18"/>
      <c r="DH11" s="79">
        <f>DA11*0.3</f>
        <v>13.425</v>
      </c>
      <c r="DI11" s="75"/>
      <c r="DJ11" s="79">
        <f>DI11*0.7</f>
        <v>0</v>
      </c>
      <c r="DK11" s="81">
        <f>DJ11+DH11</f>
        <v>13.425</v>
      </c>
    </row>
    <row r="12" ht="16.5" customHeight="1">
      <c r="A12" s="105"/>
      <c r="B12" s="106">
        <v>8</v>
      </c>
      <c r="C12" t="s" s="70">
        <v>591</v>
      </c>
      <c r="D12" t="s" s="71">
        <v>730</v>
      </c>
      <c r="E12" t="s" s="72">
        <v>43</v>
      </c>
      <c r="F12" t="s" s="113">
        <v>43</v>
      </c>
      <c r="G12" t="s" s="72">
        <v>161</v>
      </c>
      <c r="H12" t="s" s="113">
        <v>43</v>
      </c>
      <c r="I12" s="74"/>
      <c r="J12" t="s" s="113">
        <v>43</v>
      </c>
      <c r="K12" t="s" s="83">
        <v>43</v>
      </c>
      <c r="L12" t="s" s="83">
        <v>43</v>
      </c>
      <c r="M12" s="79">
        <v>10</v>
      </c>
      <c r="N12" s="79">
        <v>12</v>
      </c>
      <c r="O12" s="79">
        <v>9</v>
      </c>
      <c r="P12" s="79">
        <v>9</v>
      </c>
      <c r="Q12" s="79">
        <v>10</v>
      </c>
      <c r="R12" s="79">
        <f>O12+P12+Q12</f>
        <v>28</v>
      </c>
      <c r="S12" s="79">
        <v>10</v>
      </c>
      <c r="T12" s="76"/>
      <c r="U12" s="79">
        <v>10</v>
      </c>
      <c r="V12" s="75"/>
      <c r="W12" s="79">
        <f>V12+U12+T12+S12+R12+Q12+P12+O12+N12+M12</f>
        <v>98</v>
      </c>
      <c r="X12" s="75"/>
      <c r="Y12" s="79">
        <v>5</v>
      </c>
      <c r="Z12" s="110">
        <v>8</v>
      </c>
      <c r="AA12" s="79">
        <v>10</v>
      </c>
      <c r="AB12" s="110">
        <v>10</v>
      </c>
      <c r="AC12" s="79">
        <v>18</v>
      </c>
      <c r="AD12" s="110">
        <v>10</v>
      </c>
      <c r="AE12" s="110">
        <v>30</v>
      </c>
      <c r="AF12" s="111">
        <f>Y12+Z12+AA12+AB12+AC12+AD12+AE12</f>
        <v>91</v>
      </c>
      <c r="AG12" s="75"/>
      <c r="AH12" t="s" s="83">
        <v>731</v>
      </c>
      <c r="AI12" s="76"/>
      <c r="AJ12" s="78">
        <v>8</v>
      </c>
      <c r="AK12" s="110">
        <v>10</v>
      </c>
      <c r="AL12" s="79">
        <v>20</v>
      </c>
      <c r="AM12" s="110">
        <v>20</v>
      </c>
      <c r="AN12" s="79">
        <v>8</v>
      </c>
      <c r="AO12" s="79">
        <v>15</v>
      </c>
      <c r="AP12" s="110">
        <v>10</v>
      </c>
      <c r="AQ12" s="79">
        <v>7</v>
      </c>
      <c r="AR12" s="110">
        <v>10</v>
      </c>
      <c r="AS12" s="79">
        <f>SUM(AK12:AR12)</f>
        <v>100</v>
      </c>
      <c r="AT12" s="18"/>
      <c r="AU12" s="78">
        <v>8</v>
      </c>
      <c r="AV12" s="110">
        <f>AS12+0</f>
        <v>100</v>
      </c>
      <c r="AW12" s="75"/>
      <c r="AX12" s="18"/>
      <c r="AY12" s="110">
        <f>AF12</f>
        <v>91</v>
      </c>
      <c r="AZ12" s="75"/>
      <c r="BA12" s="18"/>
      <c r="BB12" s="110">
        <f>W12</f>
        <v>98</v>
      </c>
      <c r="BC12" s="75"/>
      <c r="BD12" s="18"/>
      <c r="BE12" s="76"/>
      <c r="BF12" s="75"/>
      <c r="BG12" s="18"/>
      <c r="BH12" s="78">
        <v>8</v>
      </c>
      <c r="BI12" s="110">
        <v>100</v>
      </c>
      <c r="BJ12" s="75"/>
      <c r="BK12" s="18"/>
      <c r="BL12" s="110">
        <f>AF12-1</f>
        <v>90</v>
      </c>
      <c r="BM12" s="75"/>
      <c r="BN12" s="18"/>
      <c r="BO12" s="110">
        <f>W12-1</f>
        <v>97</v>
      </c>
      <c r="BP12" s="75"/>
      <c r="BQ12" s="18"/>
      <c r="BR12" s="76"/>
      <c r="BS12" s="75"/>
      <c r="BT12" s="18"/>
      <c r="BU12" s="78">
        <v>8</v>
      </c>
      <c r="BV12" s="110">
        <v>100</v>
      </c>
      <c r="BW12" s="75"/>
      <c r="BX12" s="18"/>
      <c r="BY12" s="110">
        <f>AF12+2</f>
        <v>93</v>
      </c>
      <c r="BZ12" s="75"/>
      <c r="CA12" s="18"/>
      <c r="CB12" s="110">
        <f>W12+2</f>
        <v>100</v>
      </c>
      <c r="CC12" s="75"/>
      <c r="CD12" s="18"/>
      <c r="CE12" s="76"/>
      <c r="CF12" s="75"/>
      <c r="CG12" s="18"/>
      <c r="CH12" s="78">
        <v>8</v>
      </c>
      <c r="CI12" s="110">
        <f>AS12-1</f>
        <v>99</v>
      </c>
      <c r="CJ12" s="75"/>
      <c r="CK12" s="18"/>
      <c r="CL12" s="110">
        <f>AF12+1</f>
        <v>92</v>
      </c>
      <c r="CM12" s="75"/>
      <c r="CN12" s="18"/>
      <c r="CO12" s="110">
        <f>W12+1</f>
        <v>99</v>
      </c>
      <c r="CP12" s="75"/>
      <c r="CQ12" s="18"/>
      <c r="CR12" s="76"/>
      <c r="CS12" s="75"/>
      <c r="CT12" s="18"/>
      <c r="CU12" s="78">
        <v>8</v>
      </c>
      <c r="CV12" s="79">
        <f>(AV12+AY12+BB12+BE12)/4</f>
        <v>72.25</v>
      </c>
      <c r="CW12" s="79">
        <f>(BI12+BL12+BO12+BR12)/4</f>
        <v>71.75</v>
      </c>
      <c r="CX12" s="79">
        <f>(BV12+BY12+CB12+CE12)/4</f>
        <v>73.25</v>
      </c>
      <c r="CY12" s="79">
        <f>(CI12+CL12+CO12+CR12)/4</f>
        <v>72.5</v>
      </c>
      <c r="CZ12" s="18"/>
      <c r="DA12" s="80">
        <f>SUM(CV12:CY12)/4</f>
        <v>72.4375</v>
      </c>
      <c r="DB12" s="18"/>
      <c r="DC12" s="79">
        <f>DA12*0.5</f>
        <v>36.21875</v>
      </c>
      <c r="DD12" s="75"/>
      <c r="DE12" s="79">
        <f>DD12*0.5</f>
        <v>0</v>
      </c>
      <c r="DF12" s="81">
        <f>DE12+DC12</f>
        <v>36.21875</v>
      </c>
      <c r="DG12" s="18"/>
      <c r="DH12" s="79">
        <f>DA12*0.3</f>
        <v>21.73125</v>
      </c>
      <c r="DI12" s="75"/>
      <c r="DJ12" s="79">
        <f>DI12*0.7</f>
        <v>0</v>
      </c>
      <c r="DK12" s="81">
        <f>DJ12+DH12</f>
        <v>21.73125</v>
      </c>
    </row>
    <row r="13" ht="16.5" customHeight="1">
      <c r="A13" s="105"/>
      <c r="B13" s="106">
        <v>9</v>
      </c>
      <c r="C13" t="s" s="70">
        <v>732</v>
      </c>
      <c r="D13" t="s" s="71">
        <v>733</v>
      </c>
      <c r="E13" t="s" s="72">
        <v>43</v>
      </c>
      <c r="F13" t="s" s="113">
        <v>43</v>
      </c>
      <c r="G13" t="s" s="72">
        <v>43</v>
      </c>
      <c r="H13" t="s" s="113">
        <v>43</v>
      </c>
      <c r="I13" s="74"/>
      <c r="J13" t="s" s="113">
        <v>43</v>
      </c>
      <c r="K13" t="s" s="83">
        <v>43</v>
      </c>
      <c r="L13" t="s" s="83">
        <v>43</v>
      </c>
      <c r="M13" s="79">
        <v>10</v>
      </c>
      <c r="N13" s="79">
        <v>20</v>
      </c>
      <c r="O13" s="79">
        <v>10</v>
      </c>
      <c r="P13" s="79">
        <v>8</v>
      </c>
      <c r="Q13" s="79">
        <v>9.5</v>
      </c>
      <c r="R13" s="79">
        <f>O13+P13+Q13</f>
        <v>27.5</v>
      </c>
      <c r="S13" s="79">
        <v>10</v>
      </c>
      <c r="T13" s="76"/>
      <c r="U13" s="79">
        <v>10</v>
      </c>
      <c r="V13" s="75"/>
      <c r="W13" s="79">
        <f>V13+U13+T13+S13+R13+Q13+P13+O13+N13+M13</f>
        <v>105</v>
      </c>
      <c r="X13" s="75"/>
      <c r="Y13" s="79">
        <v>10</v>
      </c>
      <c r="Z13" s="110">
        <v>10</v>
      </c>
      <c r="AA13" s="79">
        <v>10</v>
      </c>
      <c r="AB13" s="110">
        <v>10</v>
      </c>
      <c r="AC13" s="79">
        <v>18</v>
      </c>
      <c r="AD13" s="110">
        <v>10</v>
      </c>
      <c r="AE13" s="110">
        <v>30</v>
      </c>
      <c r="AF13" s="111">
        <f>Y13+Z13+AA13+AB13+AC13+AD13+AE13</f>
        <v>98</v>
      </c>
      <c r="AG13" s="75"/>
      <c r="AH13" t="s" s="83">
        <v>734</v>
      </c>
      <c r="AI13" s="76"/>
      <c r="AJ13" s="78">
        <v>9</v>
      </c>
      <c r="AK13" s="110">
        <v>10</v>
      </c>
      <c r="AL13" s="79">
        <v>20</v>
      </c>
      <c r="AM13" s="110">
        <v>20</v>
      </c>
      <c r="AN13" s="79">
        <v>9</v>
      </c>
      <c r="AO13" s="79">
        <v>15</v>
      </c>
      <c r="AP13" s="110">
        <v>10</v>
      </c>
      <c r="AQ13" s="79">
        <v>6</v>
      </c>
      <c r="AR13" s="110">
        <v>10</v>
      </c>
      <c r="AS13" s="79">
        <f>SUM(AK13:AR13)</f>
        <v>100</v>
      </c>
      <c r="AT13" s="18"/>
      <c r="AU13" s="78">
        <v>9</v>
      </c>
      <c r="AV13" s="110">
        <f>AS13+0</f>
        <v>100</v>
      </c>
      <c r="AW13" s="75"/>
      <c r="AX13" s="18"/>
      <c r="AY13" s="110">
        <f>AF13</f>
        <v>98</v>
      </c>
      <c r="AZ13" s="75"/>
      <c r="BA13" s="18"/>
      <c r="BB13" s="110">
        <v>100</v>
      </c>
      <c r="BC13" s="75"/>
      <c r="BD13" s="18"/>
      <c r="BE13" s="76"/>
      <c r="BF13" s="75"/>
      <c r="BG13" s="18"/>
      <c r="BH13" s="78">
        <v>9</v>
      </c>
      <c r="BI13" s="110">
        <v>100</v>
      </c>
      <c r="BJ13" s="75"/>
      <c r="BK13" s="18"/>
      <c r="BL13" s="110">
        <f>AF13-1</f>
        <v>97</v>
      </c>
      <c r="BM13" s="75"/>
      <c r="BN13" s="18"/>
      <c r="BO13" s="110">
        <v>100</v>
      </c>
      <c r="BP13" s="75"/>
      <c r="BQ13" s="18"/>
      <c r="BR13" s="76"/>
      <c r="BS13" s="75"/>
      <c r="BT13" s="18"/>
      <c r="BU13" s="78">
        <v>9</v>
      </c>
      <c r="BV13" s="110">
        <v>100</v>
      </c>
      <c r="BW13" s="75"/>
      <c r="BX13" s="18"/>
      <c r="BY13" s="110">
        <f>AF13+2</f>
        <v>100</v>
      </c>
      <c r="BZ13" s="75"/>
      <c r="CA13" s="18"/>
      <c r="CB13" s="110">
        <v>100</v>
      </c>
      <c r="CC13" s="75"/>
      <c r="CD13" s="18"/>
      <c r="CE13" s="76"/>
      <c r="CF13" s="75"/>
      <c r="CG13" s="18"/>
      <c r="CH13" s="78">
        <v>9</v>
      </c>
      <c r="CI13" s="110">
        <f>AS13-1</f>
        <v>99</v>
      </c>
      <c r="CJ13" s="75"/>
      <c r="CK13" s="18"/>
      <c r="CL13" s="110">
        <f>AF13+1</f>
        <v>99</v>
      </c>
      <c r="CM13" s="75"/>
      <c r="CN13" s="18"/>
      <c r="CO13" s="110">
        <v>100</v>
      </c>
      <c r="CP13" s="75"/>
      <c r="CQ13" s="18"/>
      <c r="CR13" s="76"/>
      <c r="CS13" s="75"/>
      <c r="CT13" s="18"/>
      <c r="CU13" s="78">
        <v>9</v>
      </c>
      <c r="CV13" s="79">
        <f>(AV13+AY13+BB13+BE13)/4</f>
        <v>74.5</v>
      </c>
      <c r="CW13" s="79">
        <f>(BI13+BL13+BO13+BR13)/4</f>
        <v>74.25</v>
      </c>
      <c r="CX13" s="79">
        <f>(BV13+BY13+CB13+CE13)/4</f>
        <v>75</v>
      </c>
      <c r="CY13" s="79">
        <f>(CI13+CL13+CO13+CR13)/4</f>
        <v>74.5</v>
      </c>
      <c r="CZ13" s="18"/>
      <c r="DA13" s="80">
        <f>SUM(CV13:CY13)/4</f>
        <v>74.5625</v>
      </c>
      <c r="DB13" s="18"/>
      <c r="DC13" s="79">
        <f>DA13*0.5</f>
        <v>37.28125</v>
      </c>
      <c r="DD13" s="75"/>
      <c r="DE13" s="79">
        <f>DD13*0.5</f>
        <v>0</v>
      </c>
      <c r="DF13" s="81">
        <f>DE13+DC13</f>
        <v>37.28125</v>
      </c>
      <c r="DG13" s="18"/>
      <c r="DH13" s="79">
        <f>DA13*0.3</f>
        <v>22.36875</v>
      </c>
      <c r="DI13" s="75"/>
      <c r="DJ13" s="79">
        <f>DI13*0.7</f>
        <v>0</v>
      </c>
      <c r="DK13" s="81">
        <f>DJ13+DH13</f>
        <v>22.36875</v>
      </c>
    </row>
    <row r="14" ht="16.5" customHeight="1">
      <c r="A14" s="31">
        <v>1</v>
      </c>
      <c r="B14" s="106">
        <v>10</v>
      </c>
      <c r="C14" t="s" s="70">
        <v>735</v>
      </c>
      <c r="D14" t="s" s="71">
        <v>736</v>
      </c>
      <c r="E14" t="s" s="72">
        <v>43</v>
      </c>
      <c r="F14" t="s" s="113">
        <v>43</v>
      </c>
      <c r="G14" t="s" s="72">
        <v>43</v>
      </c>
      <c r="H14" t="s" s="113">
        <v>43</v>
      </c>
      <c r="I14" s="74"/>
      <c r="J14" t="s" s="113">
        <v>43</v>
      </c>
      <c r="K14" t="s" s="83">
        <v>43</v>
      </c>
      <c r="L14" t="s" s="83">
        <v>43</v>
      </c>
      <c r="M14" s="79">
        <v>10</v>
      </c>
      <c r="N14" s="79">
        <v>20</v>
      </c>
      <c r="O14" s="79">
        <v>10</v>
      </c>
      <c r="P14" s="79">
        <v>9</v>
      </c>
      <c r="Q14" s="79">
        <v>10</v>
      </c>
      <c r="R14" s="79">
        <f>O14+P14+Q14</f>
        <v>29</v>
      </c>
      <c r="S14" s="79">
        <v>10</v>
      </c>
      <c r="T14" s="76"/>
      <c r="U14" s="79">
        <v>10</v>
      </c>
      <c r="V14" s="75"/>
      <c r="W14" s="79">
        <f>V14+U14+T14+S14+R14+Q14+P14+O14+N14+M14</f>
        <v>108</v>
      </c>
      <c r="X14" s="75"/>
      <c r="Y14" s="79">
        <v>5</v>
      </c>
      <c r="Z14" s="110">
        <v>10</v>
      </c>
      <c r="AA14" s="79">
        <v>10</v>
      </c>
      <c r="AB14" s="110">
        <v>10</v>
      </c>
      <c r="AC14" s="79">
        <v>20</v>
      </c>
      <c r="AD14" s="110">
        <v>10</v>
      </c>
      <c r="AE14" s="110">
        <v>30</v>
      </c>
      <c r="AF14" s="111">
        <f>Y14+Z14+AA14+AB14+AC14+AD14+AE14</f>
        <v>95</v>
      </c>
      <c r="AG14" s="75"/>
      <c r="AH14" t="s" s="83">
        <v>737</v>
      </c>
      <c r="AI14" s="76"/>
      <c r="AJ14" s="78">
        <v>10</v>
      </c>
      <c r="AK14" s="110">
        <v>8</v>
      </c>
      <c r="AL14" s="79">
        <v>20</v>
      </c>
      <c r="AM14" s="110">
        <v>20</v>
      </c>
      <c r="AN14" s="79">
        <v>10</v>
      </c>
      <c r="AO14" s="79">
        <v>15</v>
      </c>
      <c r="AP14" s="110">
        <v>10</v>
      </c>
      <c r="AQ14" s="79">
        <v>7</v>
      </c>
      <c r="AR14" s="110">
        <v>10</v>
      </c>
      <c r="AS14" s="79">
        <f>SUM(AK14:AR14)</f>
        <v>100</v>
      </c>
      <c r="AT14" s="18"/>
      <c r="AU14" s="78">
        <v>10</v>
      </c>
      <c r="AV14" s="110">
        <f>AS14+0</f>
        <v>100</v>
      </c>
      <c r="AW14" s="75"/>
      <c r="AX14" s="18"/>
      <c r="AY14" s="110">
        <f>AF14</f>
        <v>95</v>
      </c>
      <c r="AZ14" s="75"/>
      <c r="BA14" s="18"/>
      <c r="BB14" s="110">
        <v>100</v>
      </c>
      <c r="BC14" s="75"/>
      <c r="BD14" s="18"/>
      <c r="BE14" s="76"/>
      <c r="BF14" s="75"/>
      <c r="BG14" s="18"/>
      <c r="BH14" s="78">
        <v>10</v>
      </c>
      <c r="BI14" s="110">
        <v>100</v>
      </c>
      <c r="BJ14" s="75"/>
      <c r="BK14" s="18"/>
      <c r="BL14" s="110">
        <f>AF14-1</f>
        <v>94</v>
      </c>
      <c r="BM14" s="75"/>
      <c r="BN14" s="18"/>
      <c r="BO14" s="110">
        <v>100</v>
      </c>
      <c r="BP14" s="75"/>
      <c r="BQ14" s="18"/>
      <c r="BR14" s="76"/>
      <c r="BS14" s="75"/>
      <c r="BT14" s="18"/>
      <c r="BU14" s="78">
        <v>10</v>
      </c>
      <c r="BV14" s="110">
        <v>100</v>
      </c>
      <c r="BW14" s="75"/>
      <c r="BX14" s="18"/>
      <c r="BY14" s="110">
        <f>AF14+2</f>
        <v>97</v>
      </c>
      <c r="BZ14" s="75"/>
      <c r="CA14" s="18"/>
      <c r="CB14" s="110">
        <v>100</v>
      </c>
      <c r="CC14" s="75"/>
      <c r="CD14" s="18"/>
      <c r="CE14" s="76"/>
      <c r="CF14" s="75"/>
      <c r="CG14" s="18"/>
      <c r="CH14" s="78">
        <v>10</v>
      </c>
      <c r="CI14" s="110">
        <f>AS14-1</f>
        <v>99</v>
      </c>
      <c r="CJ14" s="75"/>
      <c r="CK14" s="18"/>
      <c r="CL14" s="110">
        <f>AF14+1</f>
        <v>96</v>
      </c>
      <c r="CM14" s="75"/>
      <c r="CN14" s="18"/>
      <c r="CO14" s="110">
        <v>100</v>
      </c>
      <c r="CP14" s="75"/>
      <c r="CQ14" s="18"/>
      <c r="CR14" s="76"/>
      <c r="CS14" s="75"/>
      <c r="CT14" s="18"/>
      <c r="CU14" s="78">
        <v>10</v>
      </c>
      <c r="CV14" s="79">
        <f>(AV14+AY14+BB14+BE14)/4</f>
        <v>73.75</v>
      </c>
      <c r="CW14" s="79">
        <f>(BI14+BL14+BO14+BR14)/4</f>
        <v>73.5</v>
      </c>
      <c r="CX14" s="79">
        <f>(BV14+BY14+CB14+CE14)/4</f>
        <v>74.25</v>
      </c>
      <c r="CY14" s="79">
        <f>(CI14+CL14+CO14+CR14)/4</f>
        <v>73.75</v>
      </c>
      <c r="CZ14" s="18"/>
      <c r="DA14" s="80">
        <f>SUM(CV14:CY14)/4</f>
        <v>73.8125</v>
      </c>
      <c r="DB14" s="18"/>
      <c r="DC14" s="79">
        <f>DA14*0.5</f>
        <v>36.90625</v>
      </c>
      <c r="DD14" s="75"/>
      <c r="DE14" s="79">
        <f>DD14*0.5</f>
        <v>0</v>
      </c>
      <c r="DF14" s="81">
        <f>DE14+DC14</f>
        <v>36.90625</v>
      </c>
      <c r="DG14" s="18"/>
      <c r="DH14" s="79">
        <f>DA14*0.3</f>
        <v>22.14375</v>
      </c>
      <c r="DI14" s="75"/>
      <c r="DJ14" s="79">
        <f>DI14*0.7</f>
        <v>0</v>
      </c>
      <c r="DK14" s="81">
        <f>DJ14+DH14</f>
        <v>22.14375</v>
      </c>
    </row>
    <row r="15" ht="16.5" customHeight="1">
      <c r="A15" s="31">
        <v>1</v>
      </c>
      <c r="B15" s="106">
        <v>11</v>
      </c>
      <c r="C15" t="s" s="70">
        <v>738</v>
      </c>
      <c r="D15" t="s" s="71">
        <v>739</v>
      </c>
      <c r="E15" t="s" s="72">
        <v>43</v>
      </c>
      <c r="F15" t="s" s="113">
        <v>43</v>
      </c>
      <c r="G15" t="s" s="72">
        <v>161</v>
      </c>
      <c r="H15" t="s" s="113">
        <v>43</v>
      </c>
      <c r="I15" s="74"/>
      <c r="J15" t="s" s="113">
        <v>161</v>
      </c>
      <c r="K15" t="s" s="83">
        <v>43</v>
      </c>
      <c r="L15" t="s" s="83">
        <v>43</v>
      </c>
      <c r="M15" s="79">
        <v>10</v>
      </c>
      <c r="N15" s="79">
        <v>0</v>
      </c>
      <c r="O15" s="75"/>
      <c r="P15" s="75"/>
      <c r="Q15" s="75"/>
      <c r="R15" s="79">
        <f>O15+P15+Q15</f>
        <v>0</v>
      </c>
      <c r="S15" s="79">
        <v>10</v>
      </c>
      <c r="T15" s="76"/>
      <c r="U15" s="79">
        <v>0</v>
      </c>
      <c r="V15" s="75"/>
      <c r="W15" s="123">
        <f>V15+U15+T15+S15+R15+Q15+P15+O15+N15+M15</f>
        <v>20</v>
      </c>
      <c r="X15" s="75"/>
      <c r="Y15" s="79">
        <v>5</v>
      </c>
      <c r="Z15" s="110">
        <v>8</v>
      </c>
      <c r="AA15" s="79">
        <v>10</v>
      </c>
      <c r="AB15" s="110">
        <v>10</v>
      </c>
      <c r="AC15" s="79">
        <v>19</v>
      </c>
      <c r="AD15" s="110">
        <v>10</v>
      </c>
      <c r="AE15" s="110">
        <v>30</v>
      </c>
      <c r="AF15" s="111">
        <f>Y15+Z15+AA15+AB15+AC15+AD15+AE15</f>
        <v>92</v>
      </c>
      <c r="AG15" s="75"/>
      <c r="AH15" t="s" s="83">
        <v>740</v>
      </c>
      <c r="AI15" s="76"/>
      <c r="AJ15" s="78">
        <v>11</v>
      </c>
      <c r="AK15" s="110">
        <v>10</v>
      </c>
      <c r="AL15" s="79">
        <v>20</v>
      </c>
      <c r="AM15" s="110">
        <v>20</v>
      </c>
      <c r="AN15" s="79">
        <v>10</v>
      </c>
      <c r="AO15" s="79">
        <v>0</v>
      </c>
      <c r="AP15" s="110">
        <v>8</v>
      </c>
      <c r="AQ15" s="79">
        <v>7</v>
      </c>
      <c r="AR15" s="110">
        <v>10</v>
      </c>
      <c r="AS15" s="79">
        <f>SUM(AK15:AR15)</f>
        <v>85</v>
      </c>
      <c r="AT15" s="18"/>
      <c r="AU15" s="78">
        <v>11</v>
      </c>
      <c r="AV15" s="110">
        <f>AS15+0</f>
        <v>85</v>
      </c>
      <c r="AW15" s="75"/>
      <c r="AX15" s="18"/>
      <c r="AY15" s="110">
        <f>AF15</f>
        <v>92</v>
      </c>
      <c r="AZ15" s="75"/>
      <c r="BA15" s="18"/>
      <c r="BB15" s="110">
        <f>W15</f>
        <v>20</v>
      </c>
      <c r="BC15" s="75"/>
      <c r="BD15" s="18"/>
      <c r="BE15" s="76"/>
      <c r="BF15" s="75"/>
      <c r="BG15" s="18"/>
      <c r="BH15" s="78">
        <v>11</v>
      </c>
      <c r="BI15" s="110">
        <f>AS15-1</f>
        <v>84</v>
      </c>
      <c r="BJ15" s="75"/>
      <c r="BK15" s="18"/>
      <c r="BL15" s="110">
        <f>AF15-1</f>
        <v>91</v>
      </c>
      <c r="BM15" s="75"/>
      <c r="BN15" s="18"/>
      <c r="BO15" s="110">
        <f>W15-1</f>
        <v>19</v>
      </c>
      <c r="BP15" s="75"/>
      <c r="BQ15" s="18"/>
      <c r="BR15" s="76"/>
      <c r="BS15" s="75"/>
      <c r="BT15" s="18"/>
      <c r="BU15" s="78">
        <v>11</v>
      </c>
      <c r="BV15" s="110">
        <f>AS15+2</f>
        <v>87</v>
      </c>
      <c r="BW15" s="75"/>
      <c r="BX15" s="18"/>
      <c r="BY15" s="110">
        <f>AF15+2</f>
        <v>94</v>
      </c>
      <c r="BZ15" s="75"/>
      <c r="CA15" s="18"/>
      <c r="CB15" s="110">
        <f>W15+2</f>
        <v>22</v>
      </c>
      <c r="CC15" s="75"/>
      <c r="CD15" s="18"/>
      <c r="CE15" s="76"/>
      <c r="CF15" s="75"/>
      <c r="CG15" s="18"/>
      <c r="CH15" s="78">
        <v>11</v>
      </c>
      <c r="CI15" s="110">
        <f>AS15-1</f>
        <v>84</v>
      </c>
      <c r="CJ15" s="75"/>
      <c r="CK15" s="18"/>
      <c r="CL15" s="110">
        <f>AF15+1</f>
        <v>93</v>
      </c>
      <c r="CM15" s="75"/>
      <c r="CN15" s="18"/>
      <c r="CO15" s="110">
        <f>W15+1</f>
        <v>21</v>
      </c>
      <c r="CP15" s="75"/>
      <c r="CQ15" s="18"/>
      <c r="CR15" s="76"/>
      <c r="CS15" s="75"/>
      <c r="CT15" s="18"/>
      <c r="CU15" s="78">
        <v>11</v>
      </c>
      <c r="CV15" s="79">
        <f>(AV15+AY15+BB15+BE15)/4</f>
        <v>49.25</v>
      </c>
      <c r="CW15" s="79">
        <f>(BI15+BL15+BO15+BR15)/4</f>
        <v>48.5</v>
      </c>
      <c r="CX15" s="79">
        <f>(BV15+BY15+CB15+CE15)/4</f>
        <v>50.75</v>
      </c>
      <c r="CY15" s="79">
        <f>(CI15+CL15+CO15+CR15)/4</f>
        <v>49.5</v>
      </c>
      <c r="CZ15" s="18"/>
      <c r="DA15" s="80">
        <f>SUM(CV15:CY15)/4</f>
        <v>49.5</v>
      </c>
      <c r="DB15" s="18"/>
      <c r="DC15" s="79">
        <f>DA15*0.5</f>
        <v>24.75</v>
      </c>
      <c r="DD15" s="75"/>
      <c r="DE15" s="79">
        <f>DD15*0.5</f>
        <v>0</v>
      </c>
      <c r="DF15" s="81">
        <f>DE15+DC15</f>
        <v>24.75</v>
      </c>
      <c r="DG15" s="18"/>
      <c r="DH15" s="79">
        <f>DA15*0.3</f>
        <v>14.85</v>
      </c>
      <c r="DI15" s="75"/>
      <c r="DJ15" s="79">
        <f>DI15*0.7</f>
        <v>0</v>
      </c>
      <c r="DK15" s="81">
        <f>DJ15+DH15</f>
        <v>14.85</v>
      </c>
    </row>
    <row r="16" ht="16.5" customHeight="1">
      <c r="A16" s="31">
        <v>1</v>
      </c>
      <c r="B16" s="106">
        <v>12</v>
      </c>
      <c r="C16" t="s" s="70">
        <v>741</v>
      </c>
      <c r="D16" t="s" s="71">
        <v>742</v>
      </c>
      <c r="E16" t="s" s="72">
        <v>43</v>
      </c>
      <c r="F16" t="s" s="113">
        <v>43</v>
      </c>
      <c r="G16" t="s" s="72">
        <v>43</v>
      </c>
      <c r="H16" t="s" s="113">
        <v>43</v>
      </c>
      <c r="I16" s="74"/>
      <c r="J16" t="s" s="113">
        <v>43</v>
      </c>
      <c r="K16" t="s" s="83">
        <v>43</v>
      </c>
      <c r="L16" t="s" s="83">
        <v>43</v>
      </c>
      <c r="M16" s="79">
        <v>10</v>
      </c>
      <c r="N16" s="79">
        <v>15</v>
      </c>
      <c r="O16" s="75"/>
      <c r="P16" s="75"/>
      <c r="Q16" s="75"/>
      <c r="R16" s="79">
        <f>O16+P16+Q16</f>
        <v>0</v>
      </c>
      <c r="S16" s="79">
        <v>10</v>
      </c>
      <c r="T16" s="76"/>
      <c r="U16" s="79">
        <v>10</v>
      </c>
      <c r="V16" s="75"/>
      <c r="W16" s="123">
        <f>V16+U16+T16+S16+R16+Q16+P16+O16+N16+M16</f>
        <v>45</v>
      </c>
      <c r="X16" s="75"/>
      <c r="Y16" s="79">
        <v>5</v>
      </c>
      <c r="Z16" s="110">
        <v>10</v>
      </c>
      <c r="AA16" s="79">
        <v>10</v>
      </c>
      <c r="AB16" s="110">
        <v>10</v>
      </c>
      <c r="AC16" s="79">
        <v>13</v>
      </c>
      <c r="AD16" s="110">
        <v>10</v>
      </c>
      <c r="AE16" s="110">
        <v>30</v>
      </c>
      <c r="AF16" s="111">
        <f>Y16+Z16+AA16+AB16+AC16+AD16+AE16</f>
        <v>88</v>
      </c>
      <c r="AG16" s="75"/>
      <c r="AH16" t="s" s="83">
        <v>743</v>
      </c>
      <c r="AI16" s="76"/>
      <c r="AJ16" s="78">
        <v>12</v>
      </c>
      <c r="AK16" s="123">
        <v>10</v>
      </c>
      <c r="AL16" s="123">
        <v>0</v>
      </c>
      <c r="AM16" s="123">
        <v>20</v>
      </c>
      <c r="AN16" s="123">
        <v>10</v>
      </c>
      <c r="AO16" s="123">
        <v>0</v>
      </c>
      <c r="AP16" s="123">
        <v>7</v>
      </c>
      <c r="AQ16" s="123">
        <v>7</v>
      </c>
      <c r="AR16" s="123">
        <v>10</v>
      </c>
      <c r="AS16" s="123">
        <f>SUM(AK16:AR16)</f>
        <v>64</v>
      </c>
      <c r="AT16" s="18"/>
      <c r="AU16" s="78">
        <v>12</v>
      </c>
      <c r="AV16" s="110">
        <f>AS16+0</f>
        <v>64</v>
      </c>
      <c r="AW16" s="79">
        <v>75</v>
      </c>
      <c r="AX16" s="18"/>
      <c r="AY16" s="110">
        <f>AF16</f>
        <v>88</v>
      </c>
      <c r="AZ16" s="75"/>
      <c r="BA16" s="18"/>
      <c r="BB16" s="110">
        <f>W16</f>
        <v>45</v>
      </c>
      <c r="BC16" s="75"/>
      <c r="BD16" s="18"/>
      <c r="BE16" s="76"/>
      <c r="BF16" s="75"/>
      <c r="BG16" s="18"/>
      <c r="BH16" s="78">
        <v>12</v>
      </c>
      <c r="BI16" s="110">
        <f>AS16-1</f>
        <v>63</v>
      </c>
      <c r="BJ16" s="79">
        <v>75</v>
      </c>
      <c r="BK16" s="18"/>
      <c r="BL16" s="110">
        <f>AF16-1</f>
        <v>87</v>
      </c>
      <c r="BM16" s="75"/>
      <c r="BN16" s="18"/>
      <c r="BO16" s="110">
        <f>W16-1</f>
        <v>44</v>
      </c>
      <c r="BP16" s="75"/>
      <c r="BQ16" s="18"/>
      <c r="BR16" s="76"/>
      <c r="BS16" s="75"/>
      <c r="BT16" s="18"/>
      <c r="BU16" s="78">
        <v>12</v>
      </c>
      <c r="BV16" s="110">
        <f>AS16+2</f>
        <v>66</v>
      </c>
      <c r="BW16" s="79">
        <v>75</v>
      </c>
      <c r="BX16" s="18"/>
      <c r="BY16" s="110">
        <f>AF16+2</f>
        <v>90</v>
      </c>
      <c r="BZ16" s="75"/>
      <c r="CA16" s="18"/>
      <c r="CB16" s="110">
        <f>W16+2</f>
        <v>47</v>
      </c>
      <c r="CC16" s="75"/>
      <c r="CD16" s="18"/>
      <c r="CE16" s="76"/>
      <c r="CF16" s="75"/>
      <c r="CG16" s="18"/>
      <c r="CH16" s="78">
        <v>12</v>
      </c>
      <c r="CI16" s="110">
        <f>AS16-1</f>
        <v>63</v>
      </c>
      <c r="CJ16" s="79">
        <v>75</v>
      </c>
      <c r="CK16" s="18"/>
      <c r="CL16" s="110">
        <f>AF16+1</f>
        <v>89</v>
      </c>
      <c r="CM16" s="75"/>
      <c r="CN16" s="18"/>
      <c r="CO16" s="110">
        <f>W16+1</f>
        <v>46</v>
      </c>
      <c r="CP16" s="75"/>
      <c r="CQ16" s="18"/>
      <c r="CR16" s="76"/>
      <c r="CS16" s="75"/>
      <c r="CT16" s="18"/>
      <c r="CU16" s="78">
        <v>12</v>
      </c>
      <c r="CV16" s="79">
        <f>(AV16+AY16+BB16+BE16)/4</f>
        <v>49.25</v>
      </c>
      <c r="CW16" s="79">
        <f>(BI16+BL16+BO16+BR16)/4</f>
        <v>48.5</v>
      </c>
      <c r="CX16" s="79">
        <f>(BV16+BY16+CB16+CE16)/4</f>
        <v>50.75</v>
      </c>
      <c r="CY16" s="79">
        <f>(CI16+CL16+CO16+CR16)/4</f>
        <v>49.5</v>
      </c>
      <c r="CZ16" s="18"/>
      <c r="DA16" s="80">
        <f>SUM(CV16:CY16)/4</f>
        <v>49.5</v>
      </c>
      <c r="DB16" s="18"/>
      <c r="DC16" s="79">
        <f>DA16*0.5</f>
        <v>24.75</v>
      </c>
      <c r="DD16" s="75"/>
      <c r="DE16" s="79">
        <f>DD16*0.5</f>
        <v>0</v>
      </c>
      <c r="DF16" s="81">
        <f>DE16+DC16</f>
        <v>24.75</v>
      </c>
      <c r="DG16" s="18"/>
      <c r="DH16" s="79">
        <f>DA16*0.3</f>
        <v>14.85</v>
      </c>
      <c r="DI16" s="75"/>
      <c r="DJ16" s="79">
        <f>DI16*0.7</f>
        <v>0</v>
      </c>
      <c r="DK16" s="81">
        <f>DJ16+DH16</f>
        <v>14.85</v>
      </c>
    </row>
    <row r="17" ht="16.5" customHeight="1">
      <c r="A17" s="31">
        <v>1</v>
      </c>
      <c r="B17" s="106">
        <v>13</v>
      </c>
      <c r="C17" t="s" s="70">
        <v>744</v>
      </c>
      <c r="D17" t="s" s="71">
        <v>745</v>
      </c>
      <c r="E17" t="s" s="72">
        <v>43</v>
      </c>
      <c r="F17" t="s" s="113">
        <v>161</v>
      </c>
      <c r="G17" t="s" s="72">
        <v>161</v>
      </c>
      <c r="H17" t="s" s="113">
        <v>43</v>
      </c>
      <c r="I17" s="74"/>
      <c r="J17" t="s" s="113">
        <v>43</v>
      </c>
      <c r="K17" t="s" s="83">
        <v>43</v>
      </c>
      <c r="L17" t="s" s="83">
        <v>43</v>
      </c>
      <c r="M17" s="79">
        <v>10</v>
      </c>
      <c r="N17" s="79">
        <v>10</v>
      </c>
      <c r="O17" s="79">
        <v>10</v>
      </c>
      <c r="P17" s="79">
        <v>6</v>
      </c>
      <c r="Q17" s="79">
        <v>6</v>
      </c>
      <c r="R17" s="79">
        <f>O17+P17+Q17</f>
        <v>22</v>
      </c>
      <c r="S17" s="79">
        <v>10</v>
      </c>
      <c r="T17" s="76"/>
      <c r="U17" s="79">
        <v>0</v>
      </c>
      <c r="V17" s="75"/>
      <c r="W17" s="79">
        <f>V17+U17+T17+S17+R17+Q17+P17+O17+N17+M17</f>
        <v>74</v>
      </c>
      <c r="X17" s="75"/>
      <c r="Y17" s="79">
        <v>5</v>
      </c>
      <c r="Z17" s="110">
        <v>6</v>
      </c>
      <c r="AA17" s="79">
        <v>10</v>
      </c>
      <c r="AB17" s="110">
        <v>10</v>
      </c>
      <c r="AC17" s="79">
        <v>20</v>
      </c>
      <c r="AD17" s="110">
        <v>10</v>
      </c>
      <c r="AE17" s="110">
        <v>30</v>
      </c>
      <c r="AF17" s="111">
        <f>Y17+Z17+AA17+AB17+AC17+AD17+AE17</f>
        <v>91</v>
      </c>
      <c r="AG17" s="75"/>
      <c r="AH17" t="s" s="83">
        <v>746</v>
      </c>
      <c r="AI17" s="76"/>
      <c r="AJ17" s="78">
        <v>13</v>
      </c>
      <c r="AK17" s="110">
        <v>10</v>
      </c>
      <c r="AL17" s="79">
        <v>20</v>
      </c>
      <c r="AM17" s="110">
        <v>20</v>
      </c>
      <c r="AN17" s="79">
        <v>10</v>
      </c>
      <c r="AO17" s="79">
        <v>15</v>
      </c>
      <c r="AP17" s="110">
        <v>10</v>
      </c>
      <c r="AQ17" s="79">
        <v>5</v>
      </c>
      <c r="AR17" s="110">
        <v>10</v>
      </c>
      <c r="AS17" s="79">
        <f>SUM(AK17:AR17)</f>
        <v>100</v>
      </c>
      <c r="AT17" s="18"/>
      <c r="AU17" s="78">
        <v>13</v>
      </c>
      <c r="AV17" s="110">
        <f>AS17+0</f>
        <v>100</v>
      </c>
      <c r="AW17" s="75"/>
      <c r="AX17" s="18"/>
      <c r="AY17" s="110">
        <f>AF17</f>
        <v>91</v>
      </c>
      <c r="AZ17" s="75"/>
      <c r="BA17" s="18"/>
      <c r="BB17" s="110">
        <v>84</v>
      </c>
      <c r="BC17" s="75"/>
      <c r="BD17" s="18"/>
      <c r="BE17" s="76"/>
      <c r="BF17" s="75"/>
      <c r="BG17" s="18"/>
      <c r="BH17" s="78">
        <v>13</v>
      </c>
      <c r="BI17" s="110">
        <v>100</v>
      </c>
      <c r="BJ17" s="75"/>
      <c r="BK17" s="18"/>
      <c r="BL17" s="110">
        <f>AF17-1</f>
        <v>90</v>
      </c>
      <c r="BM17" s="75"/>
      <c r="BN17" s="18"/>
      <c r="BO17" s="110">
        <v>85</v>
      </c>
      <c r="BP17" s="75"/>
      <c r="BQ17" s="18"/>
      <c r="BR17" s="76"/>
      <c r="BS17" s="75"/>
      <c r="BT17" s="18"/>
      <c r="BU17" s="78">
        <v>13</v>
      </c>
      <c r="BV17" s="110">
        <v>100</v>
      </c>
      <c r="BW17" s="75"/>
      <c r="BX17" s="18"/>
      <c r="BY17" s="110">
        <f>AF17+2</f>
        <v>93</v>
      </c>
      <c r="BZ17" s="75"/>
      <c r="CA17" s="18"/>
      <c r="CB17" s="110">
        <v>86</v>
      </c>
      <c r="CC17" s="75"/>
      <c r="CD17" s="18"/>
      <c r="CE17" s="76"/>
      <c r="CF17" s="75"/>
      <c r="CG17" s="18"/>
      <c r="CH17" s="78">
        <v>13</v>
      </c>
      <c r="CI17" s="110">
        <f>AS17-1</f>
        <v>99</v>
      </c>
      <c r="CJ17" s="75"/>
      <c r="CK17" s="18"/>
      <c r="CL17" s="110">
        <f>AF17+1</f>
        <v>92</v>
      </c>
      <c r="CM17" s="75"/>
      <c r="CN17" s="18"/>
      <c r="CO17" s="110">
        <v>88</v>
      </c>
      <c r="CP17" s="75"/>
      <c r="CQ17" s="18"/>
      <c r="CR17" s="76"/>
      <c r="CS17" s="75"/>
      <c r="CT17" s="18"/>
      <c r="CU17" s="78">
        <v>13</v>
      </c>
      <c r="CV17" s="79">
        <f>(AV17+AY17+BB17+BE17)/4</f>
        <v>68.75</v>
      </c>
      <c r="CW17" s="79">
        <f>(BI17+BL17+BO17+BR17)/4</f>
        <v>68.75</v>
      </c>
      <c r="CX17" s="79">
        <f>(BV17+BY17+CB17+CE17)/4</f>
        <v>69.75</v>
      </c>
      <c r="CY17" s="79">
        <f>(CI17+CL17+CO17+CR17)/4</f>
        <v>69.75</v>
      </c>
      <c r="CZ17" s="18"/>
      <c r="DA17" s="80">
        <f>SUM(CV17:CY17)/4</f>
        <v>69.25</v>
      </c>
      <c r="DB17" s="18"/>
      <c r="DC17" s="79">
        <f>DA17*0.5</f>
        <v>34.625</v>
      </c>
      <c r="DD17" s="75"/>
      <c r="DE17" s="79">
        <f>DD17*0.5</f>
        <v>0</v>
      </c>
      <c r="DF17" s="81">
        <f>DE17+DC17</f>
        <v>34.625</v>
      </c>
      <c r="DG17" s="18"/>
      <c r="DH17" s="79">
        <f>DA17*0.3</f>
        <v>20.775</v>
      </c>
      <c r="DI17" s="75"/>
      <c r="DJ17" s="79">
        <f>DI17*0.7</f>
        <v>0</v>
      </c>
      <c r="DK17" s="81">
        <f>DJ17+DH17</f>
        <v>20.775</v>
      </c>
    </row>
    <row r="18" ht="16.5" customHeight="1">
      <c r="A18" s="105"/>
      <c r="B18" s="106">
        <v>14</v>
      </c>
      <c r="C18" t="s" s="70">
        <v>747</v>
      </c>
      <c r="D18" t="s" s="71">
        <v>748</v>
      </c>
      <c r="E18" t="s" s="72">
        <v>43</v>
      </c>
      <c r="F18" t="s" s="113">
        <v>43</v>
      </c>
      <c r="G18" t="s" s="72">
        <v>161</v>
      </c>
      <c r="H18" t="s" s="113">
        <v>43</v>
      </c>
      <c r="I18" s="74"/>
      <c r="J18" t="s" s="113">
        <v>43</v>
      </c>
      <c r="K18" t="s" s="83">
        <v>43</v>
      </c>
      <c r="L18" t="s" s="83">
        <v>161</v>
      </c>
      <c r="M18" s="79">
        <v>8</v>
      </c>
      <c r="N18" s="79">
        <v>19</v>
      </c>
      <c r="O18" s="79">
        <v>10</v>
      </c>
      <c r="P18" s="79">
        <v>6</v>
      </c>
      <c r="Q18" s="79">
        <v>5</v>
      </c>
      <c r="R18" s="79">
        <f>O18+P18+Q18</f>
        <v>21</v>
      </c>
      <c r="S18" s="79">
        <v>10</v>
      </c>
      <c r="T18" s="76"/>
      <c r="U18" s="79">
        <v>5</v>
      </c>
      <c r="V18" s="75"/>
      <c r="W18" s="79">
        <f>V18+U18+T18+S18+R18+Q18+P18+O18+N18+M18</f>
        <v>84</v>
      </c>
      <c r="X18" s="75"/>
      <c r="Y18" s="79">
        <v>10</v>
      </c>
      <c r="Z18" s="110">
        <v>10</v>
      </c>
      <c r="AA18" s="79">
        <v>10</v>
      </c>
      <c r="AB18" s="110">
        <v>10</v>
      </c>
      <c r="AC18" s="79">
        <v>0</v>
      </c>
      <c r="AD18" s="110">
        <v>10</v>
      </c>
      <c r="AE18" s="110">
        <v>30</v>
      </c>
      <c r="AF18" s="111">
        <f>Y18+Z18+AA18+AB18+AC18+AD18+AE18</f>
        <v>80</v>
      </c>
      <c r="AG18" s="75"/>
      <c r="AH18" t="s" s="83">
        <v>749</v>
      </c>
      <c r="AI18" s="76"/>
      <c r="AJ18" s="78">
        <v>14</v>
      </c>
      <c r="AK18" s="123">
        <v>10</v>
      </c>
      <c r="AL18" s="123">
        <v>10</v>
      </c>
      <c r="AM18" s="123">
        <v>20</v>
      </c>
      <c r="AN18" s="123">
        <v>0</v>
      </c>
      <c r="AO18" s="123">
        <v>0</v>
      </c>
      <c r="AP18" s="123">
        <v>8</v>
      </c>
      <c r="AQ18" s="123">
        <v>7</v>
      </c>
      <c r="AR18" s="123">
        <v>10</v>
      </c>
      <c r="AS18" s="123">
        <f>SUM(AK18:AR18)</f>
        <v>65</v>
      </c>
      <c r="AT18" s="18"/>
      <c r="AU18" s="78">
        <v>14</v>
      </c>
      <c r="AV18" s="110">
        <f>AS18+0</f>
        <v>65</v>
      </c>
      <c r="AW18" s="79">
        <v>70</v>
      </c>
      <c r="AX18" s="18"/>
      <c r="AY18" s="110">
        <f>AF18</f>
        <v>80</v>
      </c>
      <c r="AZ18" s="75"/>
      <c r="BA18" s="18"/>
      <c r="BB18" s="110">
        <f>W18</f>
        <v>84</v>
      </c>
      <c r="BC18" s="75"/>
      <c r="BD18" s="18"/>
      <c r="BE18" s="76"/>
      <c r="BF18" s="75"/>
      <c r="BG18" s="18"/>
      <c r="BH18" s="78">
        <v>14</v>
      </c>
      <c r="BI18" s="110">
        <f>AS18-1</f>
        <v>64</v>
      </c>
      <c r="BJ18" s="79">
        <v>70</v>
      </c>
      <c r="BK18" s="18"/>
      <c r="BL18" s="110">
        <f>AF18-1</f>
        <v>79</v>
      </c>
      <c r="BM18" s="75"/>
      <c r="BN18" s="18"/>
      <c r="BO18" s="110">
        <f>W18-1</f>
        <v>83</v>
      </c>
      <c r="BP18" s="75"/>
      <c r="BQ18" s="18"/>
      <c r="BR18" s="76"/>
      <c r="BS18" s="75"/>
      <c r="BT18" s="18"/>
      <c r="BU18" s="78">
        <v>14</v>
      </c>
      <c r="BV18" s="110">
        <f>AS18+2</f>
        <v>67</v>
      </c>
      <c r="BW18" s="79">
        <v>70</v>
      </c>
      <c r="BX18" s="18"/>
      <c r="BY18" s="110">
        <f>AF18+2</f>
        <v>82</v>
      </c>
      <c r="BZ18" s="75"/>
      <c r="CA18" s="18"/>
      <c r="CB18" s="110">
        <f>W18+2</f>
        <v>86</v>
      </c>
      <c r="CC18" s="75"/>
      <c r="CD18" s="18"/>
      <c r="CE18" s="76"/>
      <c r="CF18" s="75"/>
      <c r="CG18" s="18"/>
      <c r="CH18" s="78">
        <v>14</v>
      </c>
      <c r="CI18" s="110">
        <f>AS18-1</f>
        <v>64</v>
      </c>
      <c r="CJ18" s="79">
        <v>75</v>
      </c>
      <c r="CK18" s="18"/>
      <c r="CL18" s="110">
        <f>AF18+1</f>
        <v>81</v>
      </c>
      <c r="CM18" s="75"/>
      <c r="CN18" s="18"/>
      <c r="CO18" s="110">
        <f>W18+1</f>
        <v>85</v>
      </c>
      <c r="CP18" s="75"/>
      <c r="CQ18" s="18"/>
      <c r="CR18" s="76"/>
      <c r="CS18" s="75"/>
      <c r="CT18" s="18"/>
      <c r="CU18" s="78">
        <v>14</v>
      </c>
      <c r="CV18" s="79">
        <f>(AV18+AY18+BB18+BE18)/4</f>
        <v>57.25</v>
      </c>
      <c r="CW18" s="79">
        <f>(BI18+BL18+BO18+BR18)/4</f>
        <v>56.5</v>
      </c>
      <c r="CX18" s="79">
        <f>(BV18+BY18+CB18+CE18)/4</f>
        <v>58.75</v>
      </c>
      <c r="CY18" s="79">
        <f>(CI18+CL18+CO18+CR18)/4</f>
        <v>57.5</v>
      </c>
      <c r="CZ18" s="18"/>
      <c r="DA18" s="80">
        <f>SUM(CV18:CY18)/4</f>
        <v>57.5</v>
      </c>
      <c r="DB18" s="18"/>
      <c r="DC18" s="79">
        <f>DA18*0.5</f>
        <v>28.75</v>
      </c>
      <c r="DD18" s="75"/>
      <c r="DE18" s="79">
        <f>DD18*0.5</f>
        <v>0</v>
      </c>
      <c r="DF18" s="81">
        <f>DE18+DC18</f>
        <v>28.75</v>
      </c>
      <c r="DG18" s="18"/>
      <c r="DH18" s="79">
        <f>DA18*0.3</f>
        <v>17.25</v>
      </c>
      <c r="DI18" s="75"/>
      <c r="DJ18" s="79">
        <f>DI18*0.7</f>
        <v>0</v>
      </c>
      <c r="DK18" s="81">
        <f>DJ18+DH18</f>
        <v>17.25</v>
      </c>
    </row>
    <row r="19" ht="16.5" customHeight="1">
      <c r="A19" s="31">
        <v>1</v>
      </c>
      <c r="B19" s="106">
        <v>15</v>
      </c>
      <c r="C19" t="s" s="70">
        <v>750</v>
      </c>
      <c r="D19" t="s" s="71">
        <v>751</v>
      </c>
      <c r="E19" t="s" s="72">
        <v>43</v>
      </c>
      <c r="F19" t="s" s="113">
        <v>43</v>
      </c>
      <c r="G19" t="s" s="72">
        <v>161</v>
      </c>
      <c r="H19" t="s" s="113">
        <v>43</v>
      </c>
      <c r="I19" s="74"/>
      <c r="J19" t="s" s="113">
        <v>43</v>
      </c>
      <c r="K19" t="s" s="83">
        <v>43</v>
      </c>
      <c r="L19" t="s" s="83">
        <v>43</v>
      </c>
      <c r="M19" s="79">
        <v>10</v>
      </c>
      <c r="N19" s="79">
        <v>20</v>
      </c>
      <c r="O19" s="79">
        <v>9</v>
      </c>
      <c r="P19" s="79">
        <v>8.5</v>
      </c>
      <c r="Q19" s="79">
        <v>8.5</v>
      </c>
      <c r="R19" s="79">
        <f>O19+P19+Q19</f>
        <v>26</v>
      </c>
      <c r="S19" s="79">
        <v>8</v>
      </c>
      <c r="T19" s="76"/>
      <c r="U19" s="79">
        <v>5</v>
      </c>
      <c r="V19" s="75"/>
      <c r="W19" s="79">
        <f>V19+U19+T19+S19+R19+Q19+P19+O19+N19+M19</f>
        <v>95</v>
      </c>
      <c r="X19" s="75"/>
      <c r="Y19" s="79">
        <v>10</v>
      </c>
      <c r="Z19" s="110">
        <v>6</v>
      </c>
      <c r="AA19" s="79">
        <v>8</v>
      </c>
      <c r="AB19" s="110">
        <v>10</v>
      </c>
      <c r="AC19" s="79">
        <v>18</v>
      </c>
      <c r="AD19" s="110">
        <v>10</v>
      </c>
      <c r="AE19" s="110">
        <v>30</v>
      </c>
      <c r="AF19" s="111">
        <f>Y19+Z19+AA19+AB19+AC19+AD19+AE19</f>
        <v>92</v>
      </c>
      <c r="AG19" s="75"/>
      <c r="AH19" t="s" s="83">
        <v>752</v>
      </c>
      <c r="AI19" s="76"/>
      <c r="AJ19" s="78">
        <v>15</v>
      </c>
      <c r="AK19" s="123">
        <v>10</v>
      </c>
      <c r="AL19" s="123">
        <v>0</v>
      </c>
      <c r="AM19" s="123">
        <v>20</v>
      </c>
      <c r="AN19" s="123">
        <v>0</v>
      </c>
      <c r="AO19" s="123">
        <v>0</v>
      </c>
      <c r="AP19" s="123">
        <v>7</v>
      </c>
      <c r="AQ19" s="123">
        <v>7</v>
      </c>
      <c r="AR19" s="123">
        <v>10</v>
      </c>
      <c r="AS19" s="123">
        <f>SUM(AK19:AR19)</f>
        <v>54</v>
      </c>
      <c r="AT19" s="18"/>
      <c r="AU19" s="78">
        <v>15</v>
      </c>
      <c r="AV19" s="110">
        <f>AS19+0</f>
        <v>54</v>
      </c>
      <c r="AW19" s="79">
        <v>85</v>
      </c>
      <c r="AX19" s="18"/>
      <c r="AY19" s="110">
        <f>AF19</f>
        <v>92</v>
      </c>
      <c r="AZ19" s="75"/>
      <c r="BA19" s="18"/>
      <c r="BB19" s="110">
        <f>W19</f>
        <v>95</v>
      </c>
      <c r="BC19" s="75"/>
      <c r="BD19" s="18"/>
      <c r="BE19" s="76"/>
      <c r="BF19" s="75"/>
      <c r="BG19" s="18"/>
      <c r="BH19" s="78">
        <v>15</v>
      </c>
      <c r="BI19" s="110">
        <f>AS19-1</f>
        <v>53</v>
      </c>
      <c r="BJ19" s="79">
        <v>85</v>
      </c>
      <c r="BK19" s="18"/>
      <c r="BL19" s="110">
        <f>AF19-1</f>
        <v>91</v>
      </c>
      <c r="BM19" s="75"/>
      <c r="BN19" s="18"/>
      <c r="BO19" s="110">
        <f>W19-1</f>
        <v>94</v>
      </c>
      <c r="BP19" s="75"/>
      <c r="BQ19" s="18"/>
      <c r="BR19" s="76"/>
      <c r="BS19" s="75"/>
      <c r="BT19" s="18"/>
      <c r="BU19" s="78">
        <v>15</v>
      </c>
      <c r="BV19" s="110">
        <f>AS19+2</f>
        <v>56</v>
      </c>
      <c r="BW19" s="79">
        <v>85</v>
      </c>
      <c r="BX19" s="18"/>
      <c r="BY19" s="110">
        <f>AF19+2</f>
        <v>94</v>
      </c>
      <c r="BZ19" s="75"/>
      <c r="CA19" s="18"/>
      <c r="CB19" s="110">
        <f>W19+2</f>
        <v>97</v>
      </c>
      <c r="CC19" s="75"/>
      <c r="CD19" s="18"/>
      <c r="CE19" s="76"/>
      <c r="CF19" s="75"/>
      <c r="CG19" s="18"/>
      <c r="CH19" s="78">
        <v>15</v>
      </c>
      <c r="CI19" s="110">
        <f>AS19-1</f>
        <v>53</v>
      </c>
      <c r="CJ19" s="79">
        <v>85</v>
      </c>
      <c r="CK19" s="18"/>
      <c r="CL19" s="110">
        <f>AF19+1</f>
        <v>93</v>
      </c>
      <c r="CM19" s="75"/>
      <c r="CN19" s="18"/>
      <c r="CO19" s="110">
        <f>W19+1</f>
        <v>96</v>
      </c>
      <c r="CP19" s="75"/>
      <c r="CQ19" s="18"/>
      <c r="CR19" s="76"/>
      <c r="CS19" s="75"/>
      <c r="CT19" s="18"/>
      <c r="CU19" s="78">
        <v>15</v>
      </c>
      <c r="CV19" s="79">
        <f>(AV19+AY19+BB19+BE19)/4</f>
        <v>60.25</v>
      </c>
      <c r="CW19" s="79">
        <f>(BI19+BL19+BO19+BR19)/4</f>
        <v>59.5</v>
      </c>
      <c r="CX19" s="79">
        <f>(BV19+BY19+CB19+CE19)/4</f>
        <v>61.75</v>
      </c>
      <c r="CY19" s="79">
        <f>(CI19+CL19+CO19+CR19)/4</f>
        <v>60.5</v>
      </c>
      <c r="CZ19" s="18"/>
      <c r="DA19" s="80">
        <f>SUM(CV19:CY19)/4</f>
        <v>60.5</v>
      </c>
      <c r="DB19" s="18"/>
      <c r="DC19" s="79">
        <f>DA19*0.5</f>
        <v>30.25</v>
      </c>
      <c r="DD19" s="75"/>
      <c r="DE19" s="79">
        <f>DD19*0.5</f>
        <v>0</v>
      </c>
      <c r="DF19" s="81">
        <f>DE19+DC19</f>
        <v>30.25</v>
      </c>
      <c r="DG19" s="18"/>
      <c r="DH19" s="79">
        <f>DA19*0.3</f>
        <v>18.15</v>
      </c>
      <c r="DI19" s="75"/>
      <c r="DJ19" s="79">
        <f>DI19*0.7</f>
        <v>0</v>
      </c>
      <c r="DK19" s="81">
        <f>DJ19+DH19</f>
        <v>18.15</v>
      </c>
    </row>
    <row r="20" ht="16.5" customHeight="1">
      <c r="A20" s="31">
        <v>1</v>
      </c>
      <c r="B20" s="106">
        <v>16</v>
      </c>
      <c r="C20" t="s" s="70">
        <v>753</v>
      </c>
      <c r="D20" t="s" s="71">
        <v>754</v>
      </c>
      <c r="E20" t="s" s="72">
        <v>43</v>
      </c>
      <c r="F20" t="s" s="113">
        <v>43</v>
      </c>
      <c r="G20" t="s" s="72">
        <v>161</v>
      </c>
      <c r="H20" t="s" s="113">
        <v>161</v>
      </c>
      <c r="I20" s="74"/>
      <c r="J20" t="s" s="113">
        <v>43</v>
      </c>
      <c r="K20" t="s" s="83">
        <v>43</v>
      </c>
      <c r="L20" t="s" s="83">
        <v>43</v>
      </c>
      <c r="M20" s="79">
        <v>10</v>
      </c>
      <c r="N20" s="79">
        <v>20</v>
      </c>
      <c r="O20" s="79">
        <v>9</v>
      </c>
      <c r="P20" s="79">
        <v>8</v>
      </c>
      <c r="Q20" s="79">
        <v>10</v>
      </c>
      <c r="R20" s="79">
        <f>O20+P20+Q20</f>
        <v>27</v>
      </c>
      <c r="S20" s="79">
        <v>10</v>
      </c>
      <c r="T20" s="76"/>
      <c r="U20" s="79">
        <v>10</v>
      </c>
      <c r="V20" s="75"/>
      <c r="W20" s="79">
        <f>V20+U20+T20+S20+R20+Q20+P20+O20+N20+M20</f>
        <v>104</v>
      </c>
      <c r="X20" s="75"/>
      <c r="Y20" s="79">
        <v>5</v>
      </c>
      <c r="Z20" s="110">
        <v>10</v>
      </c>
      <c r="AA20" s="79">
        <v>10</v>
      </c>
      <c r="AB20" s="110">
        <v>10</v>
      </c>
      <c r="AC20" s="79">
        <v>20</v>
      </c>
      <c r="AD20" s="110">
        <v>10</v>
      </c>
      <c r="AE20" s="110">
        <v>30</v>
      </c>
      <c r="AF20" s="111">
        <f>Y20+Z20+AA20+AB20+AC20+AD20+AE20</f>
        <v>95</v>
      </c>
      <c r="AG20" s="75"/>
      <c r="AH20" t="s" s="83">
        <v>755</v>
      </c>
      <c r="AI20" s="76"/>
      <c r="AJ20" s="78">
        <v>16</v>
      </c>
      <c r="AK20" s="110">
        <v>10</v>
      </c>
      <c r="AL20" s="79">
        <v>20</v>
      </c>
      <c r="AM20" s="110">
        <v>20</v>
      </c>
      <c r="AN20" s="79">
        <v>10</v>
      </c>
      <c r="AO20" s="79">
        <v>15</v>
      </c>
      <c r="AP20" s="110">
        <v>10</v>
      </c>
      <c r="AQ20" s="79">
        <v>5</v>
      </c>
      <c r="AR20" s="110">
        <v>10</v>
      </c>
      <c r="AS20" s="79">
        <f>SUM(AK20:AR20)</f>
        <v>100</v>
      </c>
      <c r="AT20" s="18"/>
      <c r="AU20" s="78">
        <v>16</v>
      </c>
      <c r="AV20" s="110">
        <f>AS20+0</f>
        <v>100</v>
      </c>
      <c r="AW20" s="75"/>
      <c r="AX20" s="18"/>
      <c r="AY20" s="110">
        <f>AF20</f>
        <v>95</v>
      </c>
      <c r="AZ20" s="75"/>
      <c r="BA20" s="18"/>
      <c r="BB20" s="110">
        <v>100</v>
      </c>
      <c r="BC20" s="75"/>
      <c r="BD20" s="18"/>
      <c r="BE20" s="76"/>
      <c r="BF20" s="75"/>
      <c r="BG20" s="18"/>
      <c r="BH20" s="78">
        <v>16</v>
      </c>
      <c r="BI20" s="110">
        <f>AS20-1</f>
        <v>99</v>
      </c>
      <c r="BJ20" s="75"/>
      <c r="BK20" s="18"/>
      <c r="BL20" s="110">
        <f>AF20-1</f>
        <v>94</v>
      </c>
      <c r="BM20" s="75"/>
      <c r="BN20" s="18"/>
      <c r="BO20" s="110">
        <v>100</v>
      </c>
      <c r="BP20" s="75"/>
      <c r="BQ20" s="18"/>
      <c r="BR20" s="76"/>
      <c r="BS20" s="75"/>
      <c r="BT20" s="18"/>
      <c r="BU20" s="78">
        <v>16</v>
      </c>
      <c r="BV20" s="110">
        <v>100</v>
      </c>
      <c r="BW20" s="75"/>
      <c r="BX20" s="18"/>
      <c r="BY20" s="110">
        <f>AF20+2</f>
        <v>97</v>
      </c>
      <c r="BZ20" s="75"/>
      <c r="CA20" s="18"/>
      <c r="CB20" s="110">
        <v>100</v>
      </c>
      <c r="CC20" s="75"/>
      <c r="CD20" s="18"/>
      <c r="CE20" s="76"/>
      <c r="CF20" s="75"/>
      <c r="CG20" s="18"/>
      <c r="CH20" s="78">
        <v>16</v>
      </c>
      <c r="CI20" s="110">
        <f>AS20-1</f>
        <v>99</v>
      </c>
      <c r="CJ20" s="75"/>
      <c r="CK20" s="18"/>
      <c r="CL20" s="110">
        <f>AF20+1</f>
        <v>96</v>
      </c>
      <c r="CM20" s="75"/>
      <c r="CN20" s="18"/>
      <c r="CO20" s="110">
        <v>100</v>
      </c>
      <c r="CP20" s="75"/>
      <c r="CQ20" s="18"/>
      <c r="CR20" s="76"/>
      <c r="CS20" s="75"/>
      <c r="CT20" s="18"/>
      <c r="CU20" s="78">
        <v>16</v>
      </c>
      <c r="CV20" s="79">
        <f>(AV20+AY20+BB20+BE20)/4</f>
        <v>73.75</v>
      </c>
      <c r="CW20" s="79">
        <f>(BI20+BL20+BO20+BR20)/4</f>
        <v>73.25</v>
      </c>
      <c r="CX20" s="79">
        <f>(BV20+BY20+CB20+CE20)/4</f>
        <v>74.25</v>
      </c>
      <c r="CY20" s="79">
        <f>(CI20+CL20+CO20+CR20)/4</f>
        <v>73.75</v>
      </c>
      <c r="CZ20" s="18"/>
      <c r="DA20" s="80">
        <f>SUM(CV20:CY20)/4</f>
        <v>73.75</v>
      </c>
      <c r="DB20" s="18"/>
      <c r="DC20" s="79">
        <f>DA20*0.5</f>
        <v>36.875</v>
      </c>
      <c r="DD20" s="75"/>
      <c r="DE20" s="79">
        <f>DD20*0.5</f>
        <v>0</v>
      </c>
      <c r="DF20" s="81">
        <f>DE20+DC20</f>
        <v>36.875</v>
      </c>
      <c r="DG20" s="18"/>
      <c r="DH20" s="79">
        <f>DA20*0.3</f>
        <v>22.125</v>
      </c>
      <c r="DI20" s="75"/>
      <c r="DJ20" s="79">
        <f>DI20*0.7</f>
        <v>0</v>
      </c>
      <c r="DK20" s="81">
        <f>DJ20+DH20</f>
        <v>22.125</v>
      </c>
    </row>
    <row r="21" ht="16.5" customHeight="1">
      <c r="A21" s="105"/>
      <c r="B21" s="106">
        <v>17</v>
      </c>
      <c r="C21" t="s" s="70">
        <v>756</v>
      </c>
      <c r="D21" t="s" s="71">
        <v>757</v>
      </c>
      <c r="E21" t="s" s="72">
        <v>43</v>
      </c>
      <c r="F21" t="s" s="113">
        <v>43</v>
      </c>
      <c r="G21" t="s" s="72">
        <v>161</v>
      </c>
      <c r="H21" t="s" s="113">
        <v>43</v>
      </c>
      <c r="I21" s="74"/>
      <c r="J21" t="s" s="113">
        <v>43</v>
      </c>
      <c r="K21" t="s" s="83">
        <v>43</v>
      </c>
      <c r="L21" t="s" s="83">
        <v>43</v>
      </c>
      <c r="M21" s="79">
        <v>10</v>
      </c>
      <c r="N21" s="79">
        <v>15</v>
      </c>
      <c r="O21" s="75"/>
      <c r="P21" s="75"/>
      <c r="Q21" s="75"/>
      <c r="R21" s="79">
        <f>O21+P21+Q21</f>
        <v>0</v>
      </c>
      <c r="S21" s="79">
        <v>7</v>
      </c>
      <c r="T21" s="76"/>
      <c r="U21" s="79">
        <v>0</v>
      </c>
      <c r="V21" s="75"/>
      <c r="W21" s="123">
        <f>V21+U21+T21+S21+R21+Q21+P21+O21+N21+M21</f>
        <v>32</v>
      </c>
      <c r="X21" s="75"/>
      <c r="Y21" s="79">
        <v>5</v>
      </c>
      <c r="Z21" s="110">
        <v>8</v>
      </c>
      <c r="AA21" s="79">
        <v>7</v>
      </c>
      <c r="AB21" s="110">
        <v>9</v>
      </c>
      <c r="AC21" s="79">
        <v>10</v>
      </c>
      <c r="AD21" s="110">
        <v>5</v>
      </c>
      <c r="AE21" s="110">
        <v>30</v>
      </c>
      <c r="AF21" s="138">
        <f>Y21+Z21+AA21+AB21+AC21+AD21+AE21</f>
        <v>74</v>
      </c>
      <c r="AG21" s="75"/>
      <c r="AH21" t="s" s="83">
        <v>758</v>
      </c>
      <c r="AI21" s="76"/>
      <c r="AJ21" s="78">
        <v>17</v>
      </c>
      <c r="AK21" s="123">
        <v>10</v>
      </c>
      <c r="AL21" s="123">
        <v>0</v>
      </c>
      <c r="AM21" s="123">
        <v>20</v>
      </c>
      <c r="AN21" s="123">
        <v>0</v>
      </c>
      <c r="AO21" s="123">
        <v>0</v>
      </c>
      <c r="AP21" s="123">
        <v>8</v>
      </c>
      <c r="AQ21" s="123">
        <v>7</v>
      </c>
      <c r="AR21" s="123">
        <v>10</v>
      </c>
      <c r="AS21" s="123">
        <f>SUM(AK21:AR21)</f>
        <v>55</v>
      </c>
      <c r="AT21" s="18"/>
      <c r="AU21" s="78">
        <v>17</v>
      </c>
      <c r="AV21" s="110">
        <f>AS21+0</f>
        <v>55</v>
      </c>
      <c r="AW21" s="79">
        <v>60</v>
      </c>
      <c r="AX21" s="18"/>
      <c r="AY21" s="110">
        <f>AF21</f>
        <v>74</v>
      </c>
      <c r="AZ21" s="75"/>
      <c r="BA21" s="18"/>
      <c r="BB21" s="110">
        <f>W21</f>
        <v>32</v>
      </c>
      <c r="BC21" s="75"/>
      <c r="BD21" s="18"/>
      <c r="BE21" s="76"/>
      <c r="BF21" s="75"/>
      <c r="BG21" s="18"/>
      <c r="BH21" s="78">
        <v>17</v>
      </c>
      <c r="BI21" s="110">
        <f>AS21-1</f>
        <v>54</v>
      </c>
      <c r="BJ21" s="79">
        <v>60</v>
      </c>
      <c r="BK21" s="18"/>
      <c r="BL21" s="110">
        <f>AF21-1</f>
        <v>73</v>
      </c>
      <c r="BM21" s="75"/>
      <c r="BN21" s="18"/>
      <c r="BO21" s="110">
        <f>W21-1</f>
        <v>31</v>
      </c>
      <c r="BP21" s="75"/>
      <c r="BQ21" s="18"/>
      <c r="BR21" s="76"/>
      <c r="BS21" s="75"/>
      <c r="BT21" s="18"/>
      <c r="BU21" s="78">
        <v>17</v>
      </c>
      <c r="BV21" s="110">
        <f>AS21+2</f>
        <v>57</v>
      </c>
      <c r="BW21" s="79">
        <v>60</v>
      </c>
      <c r="BX21" s="18"/>
      <c r="BY21" s="110">
        <f>AF21+2</f>
        <v>76</v>
      </c>
      <c r="BZ21" s="75"/>
      <c r="CA21" s="18"/>
      <c r="CB21" s="110">
        <f>W21+2</f>
        <v>34</v>
      </c>
      <c r="CC21" s="75"/>
      <c r="CD21" s="18"/>
      <c r="CE21" s="76"/>
      <c r="CF21" s="75"/>
      <c r="CG21" s="18"/>
      <c r="CH21" s="78">
        <v>17</v>
      </c>
      <c r="CI21" s="110">
        <f>AS21-1</f>
        <v>54</v>
      </c>
      <c r="CJ21" s="79">
        <v>60</v>
      </c>
      <c r="CK21" s="18"/>
      <c r="CL21" s="110">
        <f>AF21+1</f>
        <v>75</v>
      </c>
      <c r="CM21" s="75"/>
      <c r="CN21" s="18"/>
      <c r="CO21" s="110">
        <f>W21+1</f>
        <v>33</v>
      </c>
      <c r="CP21" s="75"/>
      <c r="CQ21" s="18"/>
      <c r="CR21" s="76"/>
      <c r="CS21" s="75"/>
      <c r="CT21" s="18"/>
      <c r="CU21" s="78">
        <v>17</v>
      </c>
      <c r="CV21" s="79">
        <f>(AV21+AY21+BB21+BE21)/4</f>
        <v>40.25</v>
      </c>
      <c r="CW21" s="79">
        <f>(BI21+BL21+BO21+BR21)/4</f>
        <v>39.5</v>
      </c>
      <c r="CX21" s="79">
        <f>(BV21+BY21+CB21+CE21)/4</f>
        <v>41.75</v>
      </c>
      <c r="CY21" s="79">
        <f>(CI21+CL21+CO21+CR21)/4</f>
        <v>40.5</v>
      </c>
      <c r="CZ21" s="18"/>
      <c r="DA21" s="80">
        <f>SUM(CV21:CY21)/4</f>
        <v>40.5</v>
      </c>
      <c r="DB21" s="18"/>
      <c r="DC21" s="79">
        <f>DA21*0.5</f>
        <v>20.25</v>
      </c>
      <c r="DD21" s="75"/>
      <c r="DE21" s="79">
        <f>DD21*0.5</f>
        <v>0</v>
      </c>
      <c r="DF21" s="81">
        <f>DE21+DC21</f>
        <v>20.25</v>
      </c>
      <c r="DG21" s="18"/>
      <c r="DH21" s="79">
        <f>DA21*0.3</f>
        <v>12.15</v>
      </c>
      <c r="DI21" s="75"/>
      <c r="DJ21" s="79">
        <f>DI21*0.7</f>
        <v>0</v>
      </c>
      <c r="DK21" s="81">
        <f>DJ21+DH21</f>
        <v>12.15</v>
      </c>
    </row>
    <row r="22" ht="16.5" customHeight="1">
      <c r="A22" s="105"/>
      <c r="B22" s="106">
        <v>18</v>
      </c>
      <c r="C22" t="s" s="70">
        <v>759</v>
      </c>
      <c r="D22" t="s" s="71">
        <v>760</v>
      </c>
      <c r="E22" t="s" s="72">
        <v>43</v>
      </c>
      <c r="F22" t="s" s="113">
        <v>43</v>
      </c>
      <c r="G22" t="s" s="72">
        <v>43</v>
      </c>
      <c r="H22" t="s" s="113">
        <v>43</v>
      </c>
      <c r="I22" t="s" s="72">
        <v>282</v>
      </c>
      <c r="J22" t="s" s="113">
        <v>43</v>
      </c>
      <c r="K22" t="s" s="83">
        <v>161</v>
      </c>
      <c r="L22" t="s" s="83">
        <v>161</v>
      </c>
      <c r="M22" s="79">
        <v>6</v>
      </c>
      <c r="N22" s="79">
        <v>0</v>
      </c>
      <c r="O22" s="79">
        <v>4</v>
      </c>
      <c r="P22" s="79">
        <v>6</v>
      </c>
      <c r="Q22" s="79">
        <v>7</v>
      </c>
      <c r="R22" s="79">
        <f>O22+P22+Q22</f>
        <v>17</v>
      </c>
      <c r="S22" s="79">
        <v>10</v>
      </c>
      <c r="T22" s="76"/>
      <c r="U22" s="79">
        <v>8</v>
      </c>
      <c r="V22" s="75"/>
      <c r="W22" s="123">
        <f>V22+U22+T22+S22+R22+Q22+P22+O22+N22+M22</f>
        <v>58</v>
      </c>
      <c r="X22" s="75"/>
      <c r="Y22" s="79">
        <v>5</v>
      </c>
      <c r="Z22" s="110">
        <v>10</v>
      </c>
      <c r="AA22" s="79">
        <v>10</v>
      </c>
      <c r="AB22" s="110">
        <v>10</v>
      </c>
      <c r="AC22" s="79">
        <v>15</v>
      </c>
      <c r="AD22" s="110">
        <v>10</v>
      </c>
      <c r="AE22" s="110">
        <v>30</v>
      </c>
      <c r="AF22" s="111">
        <f>Y22+Z22+AA22+AB22+AC22+AD22+AE22</f>
        <v>90</v>
      </c>
      <c r="AG22" s="75"/>
      <c r="AH22" t="s" s="83">
        <v>761</v>
      </c>
      <c r="AI22" s="76"/>
      <c r="AJ22" s="78">
        <v>18</v>
      </c>
      <c r="AK22" s="123">
        <v>10</v>
      </c>
      <c r="AL22" s="123">
        <v>0</v>
      </c>
      <c r="AM22" s="123">
        <v>20</v>
      </c>
      <c r="AN22" s="123">
        <v>10</v>
      </c>
      <c r="AO22" s="123">
        <v>0</v>
      </c>
      <c r="AP22" s="123">
        <v>10</v>
      </c>
      <c r="AQ22" s="123">
        <v>7</v>
      </c>
      <c r="AR22" s="123">
        <v>10</v>
      </c>
      <c r="AS22" s="123">
        <f>SUM(AK22:AR22)</f>
        <v>67</v>
      </c>
      <c r="AT22" s="18"/>
      <c r="AU22" s="78">
        <v>18</v>
      </c>
      <c r="AV22" s="110">
        <f>AS22+0</f>
        <v>67</v>
      </c>
      <c r="AW22" s="79">
        <v>85</v>
      </c>
      <c r="AX22" s="18"/>
      <c r="AY22" s="110">
        <f>AF22</f>
        <v>90</v>
      </c>
      <c r="AZ22" s="75"/>
      <c r="BA22" s="18"/>
      <c r="BB22" s="110">
        <f>W22</f>
        <v>58</v>
      </c>
      <c r="BC22" s="75"/>
      <c r="BD22" s="18"/>
      <c r="BE22" s="76"/>
      <c r="BF22" s="75"/>
      <c r="BG22" s="18"/>
      <c r="BH22" s="78">
        <v>18</v>
      </c>
      <c r="BI22" s="110">
        <f>AS22-1</f>
        <v>66</v>
      </c>
      <c r="BJ22" s="79">
        <v>85</v>
      </c>
      <c r="BK22" s="18"/>
      <c r="BL22" s="110">
        <f>AF22-1</f>
        <v>89</v>
      </c>
      <c r="BM22" s="75"/>
      <c r="BN22" s="18"/>
      <c r="BO22" s="110">
        <f>W22-1</f>
        <v>57</v>
      </c>
      <c r="BP22" s="75"/>
      <c r="BQ22" s="18"/>
      <c r="BR22" s="76"/>
      <c r="BS22" s="75"/>
      <c r="BT22" s="18"/>
      <c r="BU22" s="78">
        <v>18</v>
      </c>
      <c r="BV22" s="110">
        <f>AS22+2</f>
        <v>69</v>
      </c>
      <c r="BW22" s="79">
        <v>85</v>
      </c>
      <c r="BX22" s="18"/>
      <c r="BY22" s="110">
        <f>AF22+2</f>
        <v>92</v>
      </c>
      <c r="BZ22" s="75"/>
      <c r="CA22" s="18"/>
      <c r="CB22" s="110">
        <f>W22+2</f>
        <v>60</v>
      </c>
      <c r="CC22" s="75"/>
      <c r="CD22" s="18"/>
      <c r="CE22" s="76"/>
      <c r="CF22" s="75"/>
      <c r="CG22" s="18"/>
      <c r="CH22" s="78">
        <v>18</v>
      </c>
      <c r="CI22" s="110">
        <f>AS22-1</f>
        <v>66</v>
      </c>
      <c r="CJ22" s="79">
        <v>85</v>
      </c>
      <c r="CK22" s="18"/>
      <c r="CL22" s="110">
        <f>AF22+1</f>
        <v>91</v>
      </c>
      <c r="CM22" s="75"/>
      <c r="CN22" s="18"/>
      <c r="CO22" s="110">
        <f>W22+1</f>
        <v>59</v>
      </c>
      <c r="CP22" s="75"/>
      <c r="CQ22" s="18"/>
      <c r="CR22" s="76"/>
      <c r="CS22" s="75"/>
      <c r="CT22" s="18"/>
      <c r="CU22" s="78">
        <v>18</v>
      </c>
      <c r="CV22" s="79">
        <f>(AV22+AY22+BB22+BE22)/4</f>
        <v>53.75</v>
      </c>
      <c r="CW22" s="79">
        <f>(BI22+BL22+BO22+BR22)/4</f>
        <v>53</v>
      </c>
      <c r="CX22" s="79">
        <f>(BV22+BY22+CB22+CE22)/4</f>
        <v>55.25</v>
      </c>
      <c r="CY22" s="79">
        <f>(CI22+CL22+CO22+CR22)/4</f>
        <v>54</v>
      </c>
      <c r="CZ22" s="18"/>
      <c r="DA22" s="80">
        <f>SUM(CV22:CY22)/4</f>
        <v>54</v>
      </c>
      <c r="DB22" s="18"/>
      <c r="DC22" s="79">
        <f>DA22*0.5</f>
        <v>27</v>
      </c>
      <c r="DD22" s="75"/>
      <c r="DE22" s="79">
        <f>DD22*0.5</f>
        <v>0</v>
      </c>
      <c r="DF22" s="81">
        <f>DE22+DC22</f>
        <v>27</v>
      </c>
      <c r="DG22" s="18"/>
      <c r="DH22" s="79">
        <f>DA22*0.3</f>
        <v>16.2</v>
      </c>
      <c r="DI22" s="75"/>
      <c r="DJ22" s="79">
        <f>DI22*0.7</f>
        <v>0</v>
      </c>
      <c r="DK22" s="81">
        <f>DJ22+DH22</f>
        <v>16.2</v>
      </c>
    </row>
    <row r="23" ht="16.5" customHeight="1">
      <c r="A23" s="105"/>
      <c r="B23" s="106">
        <v>19</v>
      </c>
      <c r="C23" t="s" s="70">
        <v>762</v>
      </c>
      <c r="D23" t="s" s="71">
        <v>763</v>
      </c>
      <c r="E23" t="s" s="72">
        <v>43</v>
      </c>
      <c r="F23" t="s" s="113">
        <v>43</v>
      </c>
      <c r="G23" t="s" s="72">
        <v>43</v>
      </c>
      <c r="H23" t="s" s="113">
        <v>43</v>
      </c>
      <c r="I23" s="74"/>
      <c r="J23" t="s" s="113">
        <v>43</v>
      </c>
      <c r="K23" t="s" s="83">
        <v>43</v>
      </c>
      <c r="L23" t="s" s="83">
        <v>43</v>
      </c>
      <c r="M23" s="79">
        <v>10</v>
      </c>
      <c r="N23" s="79">
        <v>20</v>
      </c>
      <c r="O23" s="79">
        <v>10</v>
      </c>
      <c r="P23" s="79">
        <v>9</v>
      </c>
      <c r="Q23" s="79">
        <v>10</v>
      </c>
      <c r="R23" s="79">
        <f>O23+P23+Q23</f>
        <v>29</v>
      </c>
      <c r="S23" s="79">
        <v>10</v>
      </c>
      <c r="T23" s="76"/>
      <c r="U23" s="79">
        <v>10</v>
      </c>
      <c r="V23" s="75"/>
      <c r="W23" s="79">
        <f>V23+U23+T23+S23+R23+Q23+P23+O23+N23+M23</f>
        <v>108</v>
      </c>
      <c r="X23" s="75"/>
      <c r="Y23" s="79">
        <v>10</v>
      </c>
      <c r="Z23" s="110">
        <v>10</v>
      </c>
      <c r="AA23" s="79">
        <v>10</v>
      </c>
      <c r="AB23" s="110">
        <v>10</v>
      </c>
      <c r="AC23" s="79">
        <v>20</v>
      </c>
      <c r="AD23" s="110">
        <v>10</v>
      </c>
      <c r="AE23" s="110">
        <v>30</v>
      </c>
      <c r="AF23" s="111">
        <f>Y23+Z23+AA23+AB23+AC23+AD23+AE23</f>
        <v>100</v>
      </c>
      <c r="AG23" s="75"/>
      <c r="AH23" t="s" s="83">
        <v>764</v>
      </c>
      <c r="AI23" s="76"/>
      <c r="AJ23" s="78">
        <v>19</v>
      </c>
      <c r="AK23" s="110">
        <v>10</v>
      </c>
      <c r="AL23" s="79">
        <v>20</v>
      </c>
      <c r="AM23" s="110">
        <v>20</v>
      </c>
      <c r="AN23" s="79">
        <v>10</v>
      </c>
      <c r="AO23" s="79">
        <v>15</v>
      </c>
      <c r="AP23" s="110">
        <v>10</v>
      </c>
      <c r="AQ23" s="79">
        <v>5</v>
      </c>
      <c r="AR23" s="110">
        <v>10</v>
      </c>
      <c r="AS23" s="79">
        <f>SUM(AK23:AR23)</f>
        <v>100</v>
      </c>
      <c r="AT23" s="18"/>
      <c r="AU23" s="78">
        <v>19</v>
      </c>
      <c r="AV23" s="110">
        <f>AS23+0</f>
        <v>100</v>
      </c>
      <c r="AW23" s="75"/>
      <c r="AX23" s="18"/>
      <c r="AY23" s="110">
        <f>AF23</f>
        <v>100</v>
      </c>
      <c r="AZ23" s="75"/>
      <c r="BA23" s="18"/>
      <c r="BB23" s="110">
        <v>100</v>
      </c>
      <c r="BC23" s="75"/>
      <c r="BD23" s="18"/>
      <c r="BE23" s="76"/>
      <c r="BF23" s="75"/>
      <c r="BG23" s="18"/>
      <c r="BH23" s="78">
        <v>19</v>
      </c>
      <c r="BI23" s="110">
        <v>100</v>
      </c>
      <c r="BJ23" s="75"/>
      <c r="BK23" s="18"/>
      <c r="BL23" s="110">
        <f>AF23-1</f>
        <v>99</v>
      </c>
      <c r="BM23" s="75"/>
      <c r="BN23" s="18"/>
      <c r="BO23" s="110">
        <v>100</v>
      </c>
      <c r="BP23" s="75"/>
      <c r="BQ23" s="18"/>
      <c r="BR23" s="76"/>
      <c r="BS23" s="75"/>
      <c r="BT23" s="18"/>
      <c r="BU23" s="78">
        <v>19</v>
      </c>
      <c r="BV23" s="110">
        <v>100</v>
      </c>
      <c r="BW23" s="75"/>
      <c r="BX23" s="18"/>
      <c r="BY23" s="110">
        <v>100</v>
      </c>
      <c r="BZ23" s="75"/>
      <c r="CA23" s="18"/>
      <c r="CB23" s="110">
        <v>100</v>
      </c>
      <c r="CC23" s="75"/>
      <c r="CD23" s="18"/>
      <c r="CE23" s="76"/>
      <c r="CF23" s="75"/>
      <c r="CG23" s="18"/>
      <c r="CH23" s="78">
        <v>19</v>
      </c>
      <c r="CI23" s="110">
        <f>AS23-1</f>
        <v>99</v>
      </c>
      <c r="CJ23" s="75"/>
      <c r="CK23" s="18"/>
      <c r="CL23" s="110">
        <v>100</v>
      </c>
      <c r="CM23" s="75"/>
      <c r="CN23" s="18"/>
      <c r="CO23" s="110">
        <v>100</v>
      </c>
      <c r="CP23" s="75"/>
      <c r="CQ23" s="18"/>
      <c r="CR23" s="76"/>
      <c r="CS23" s="75"/>
      <c r="CT23" s="18"/>
      <c r="CU23" s="78">
        <v>19</v>
      </c>
      <c r="CV23" s="79">
        <f>(AV23+AY23+BB23+BE23)/4</f>
        <v>75</v>
      </c>
      <c r="CW23" s="79">
        <f>(BI23+BL23+BO23+BR23)/4</f>
        <v>74.75</v>
      </c>
      <c r="CX23" s="79">
        <f>(BV23+BY23+CB23+CE23)/4</f>
        <v>75</v>
      </c>
      <c r="CY23" s="79">
        <f>(CI23+CL23+CO23+CR23)/4</f>
        <v>74.75</v>
      </c>
      <c r="CZ23" s="18"/>
      <c r="DA23" s="80">
        <f>SUM(CV23:CY23)/4</f>
        <v>74.875</v>
      </c>
      <c r="DB23" s="18"/>
      <c r="DC23" s="79">
        <f>DA23*0.5</f>
        <v>37.4375</v>
      </c>
      <c r="DD23" s="75"/>
      <c r="DE23" s="79">
        <f>DD23*0.5</f>
        <v>0</v>
      </c>
      <c r="DF23" s="81">
        <f>DE23+DC23</f>
        <v>37.4375</v>
      </c>
      <c r="DG23" s="18"/>
      <c r="DH23" s="79">
        <f>DA23*0.3</f>
        <v>22.4625</v>
      </c>
      <c r="DI23" s="75"/>
      <c r="DJ23" s="79">
        <f>DI23*0.7</f>
        <v>0</v>
      </c>
      <c r="DK23" s="81">
        <f>DJ23+DH23</f>
        <v>22.4625</v>
      </c>
    </row>
    <row r="24" ht="16.5" customHeight="1">
      <c r="A24" s="105"/>
      <c r="B24" s="106">
        <v>20</v>
      </c>
      <c r="C24" t="s" s="70">
        <v>765</v>
      </c>
      <c r="D24" t="s" s="71">
        <v>766</v>
      </c>
      <c r="E24" t="s" s="72">
        <v>43</v>
      </c>
      <c r="F24" t="s" s="113">
        <v>43</v>
      </c>
      <c r="G24" t="s" s="72">
        <v>43</v>
      </c>
      <c r="H24" t="s" s="113">
        <v>43</v>
      </c>
      <c r="I24" s="74"/>
      <c r="J24" t="s" s="113">
        <v>43</v>
      </c>
      <c r="K24" t="s" s="83">
        <v>43</v>
      </c>
      <c r="L24" t="s" s="83">
        <v>161</v>
      </c>
      <c r="M24" s="79">
        <v>8</v>
      </c>
      <c r="N24" s="79">
        <v>0</v>
      </c>
      <c r="O24" s="79">
        <v>9</v>
      </c>
      <c r="P24" s="79">
        <v>9</v>
      </c>
      <c r="Q24" s="79">
        <v>10</v>
      </c>
      <c r="R24" s="79">
        <f>O24+P24+Q24</f>
        <v>28</v>
      </c>
      <c r="S24" s="79">
        <v>9</v>
      </c>
      <c r="T24" s="76"/>
      <c r="U24" s="79">
        <v>10</v>
      </c>
      <c r="V24" s="75"/>
      <c r="W24" s="79">
        <f>V24+U24+T24+S24+R24+Q24+P24+O24+N24+M24</f>
        <v>83</v>
      </c>
      <c r="X24" s="75"/>
      <c r="Y24" s="79">
        <v>5</v>
      </c>
      <c r="Z24" s="110">
        <v>10</v>
      </c>
      <c r="AA24" s="79">
        <v>9</v>
      </c>
      <c r="AB24" s="110">
        <v>10</v>
      </c>
      <c r="AC24" s="79">
        <v>18</v>
      </c>
      <c r="AD24" s="110">
        <v>10</v>
      </c>
      <c r="AE24" s="110">
        <v>30</v>
      </c>
      <c r="AF24" s="111">
        <f>Y24+Z24+AA24+AB24+AC24+AD24+AE24</f>
        <v>92</v>
      </c>
      <c r="AG24" s="75"/>
      <c r="AH24" t="s" s="83">
        <v>767</v>
      </c>
      <c r="AI24" s="76"/>
      <c r="AJ24" s="78">
        <v>20</v>
      </c>
      <c r="AK24" s="110">
        <v>10</v>
      </c>
      <c r="AL24" s="79">
        <v>19</v>
      </c>
      <c r="AM24" s="110">
        <v>20</v>
      </c>
      <c r="AN24" s="79">
        <v>8</v>
      </c>
      <c r="AO24" s="75"/>
      <c r="AP24" s="110">
        <v>8</v>
      </c>
      <c r="AQ24" s="79">
        <v>7</v>
      </c>
      <c r="AR24" s="110">
        <v>10</v>
      </c>
      <c r="AS24" s="79">
        <f>SUM(AK24:AR24)</f>
        <v>82</v>
      </c>
      <c r="AT24" s="18"/>
      <c r="AU24" s="78">
        <v>20</v>
      </c>
      <c r="AV24" s="110">
        <f>AS24+0</f>
        <v>82</v>
      </c>
      <c r="AW24" s="75"/>
      <c r="AX24" s="18"/>
      <c r="AY24" s="110">
        <f>AF24</f>
        <v>92</v>
      </c>
      <c r="AZ24" s="75"/>
      <c r="BA24" s="18"/>
      <c r="BB24" s="110">
        <f>W24</f>
        <v>83</v>
      </c>
      <c r="BC24" s="75"/>
      <c r="BD24" s="18"/>
      <c r="BE24" s="76"/>
      <c r="BF24" s="75"/>
      <c r="BG24" s="18"/>
      <c r="BH24" s="78">
        <v>20</v>
      </c>
      <c r="BI24" s="110">
        <f>AS24-1</f>
        <v>81</v>
      </c>
      <c r="BJ24" s="75"/>
      <c r="BK24" s="18"/>
      <c r="BL24" s="110">
        <f>AF24-1</f>
        <v>91</v>
      </c>
      <c r="BM24" s="75"/>
      <c r="BN24" s="18"/>
      <c r="BO24" s="110">
        <f>W24-1</f>
        <v>82</v>
      </c>
      <c r="BP24" s="75"/>
      <c r="BQ24" s="18"/>
      <c r="BR24" s="76"/>
      <c r="BS24" s="75"/>
      <c r="BT24" s="18"/>
      <c r="BU24" s="78">
        <v>20</v>
      </c>
      <c r="BV24" s="110">
        <f>AS24+2</f>
        <v>84</v>
      </c>
      <c r="BW24" s="75"/>
      <c r="BX24" s="18"/>
      <c r="BY24" s="110">
        <f>AF24+2</f>
        <v>94</v>
      </c>
      <c r="BZ24" s="75"/>
      <c r="CA24" s="18"/>
      <c r="CB24" s="110">
        <f>W24+2</f>
        <v>85</v>
      </c>
      <c r="CC24" s="75"/>
      <c r="CD24" s="18"/>
      <c r="CE24" s="76"/>
      <c r="CF24" s="75"/>
      <c r="CG24" s="18"/>
      <c r="CH24" s="78">
        <v>20</v>
      </c>
      <c r="CI24" s="110">
        <f>AS24-1</f>
        <v>81</v>
      </c>
      <c r="CJ24" s="75"/>
      <c r="CK24" s="18"/>
      <c r="CL24" s="110">
        <f>AF24+1</f>
        <v>93</v>
      </c>
      <c r="CM24" s="75"/>
      <c r="CN24" s="18"/>
      <c r="CO24" s="110">
        <f>W24+1</f>
        <v>84</v>
      </c>
      <c r="CP24" s="75"/>
      <c r="CQ24" s="18"/>
      <c r="CR24" s="76"/>
      <c r="CS24" s="75"/>
      <c r="CT24" s="18"/>
      <c r="CU24" s="78">
        <v>20</v>
      </c>
      <c r="CV24" s="79">
        <f>(AV24+AY24+BB24+BE24)/4</f>
        <v>64.25</v>
      </c>
      <c r="CW24" s="79">
        <f>(BI24+BL24+BO24+BR24)/4</f>
        <v>63.5</v>
      </c>
      <c r="CX24" s="79">
        <f>(BV24+BY24+CB24+CE24)/4</f>
        <v>65.75</v>
      </c>
      <c r="CY24" s="79">
        <f>(CI24+CL24+CO24+CR24)/4</f>
        <v>64.5</v>
      </c>
      <c r="CZ24" s="18"/>
      <c r="DA24" s="80">
        <f>SUM(CV24:CY24)/4</f>
        <v>64.5</v>
      </c>
      <c r="DB24" s="18"/>
      <c r="DC24" s="79">
        <f>DA24*0.5</f>
        <v>32.25</v>
      </c>
      <c r="DD24" s="75"/>
      <c r="DE24" s="79">
        <f>DD24*0.5</f>
        <v>0</v>
      </c>
      <c r="DF24" s="81">
        <f>DE24+DC24</f>
        <v>32.25</v>
      </c>
      <c r="DG24" s="18"/>
      <c r="DH24" s="79">
        <f>DA24*0.3</f>
        <v>19.35</v>
      </c>
      <c r="DI24" s="75"/>
      <c r="DJ24" s="79">
        <f>DI24*0.7</f>
        <v>0</v>
      </c>
      <c r="DK24" s="81">
        <f>DJ24+DH24</f>
        <v>19.35</v>
      </c>
    </row>
    <row r="25" ht="16.5" customHeight="1">
      <c r="A25" s="31">
        <v>1</v>
      </c>
      <c r="B25" s="106">
        <v>21</v>
      </c>
      <c r="C25" t="s" s="70">
        <v>768</v>
      </c>
      <c r="D25" t="s" s="71">
        <v>769</v>
      </c>
      <c r="E25" t="s" s="72">
        <v>43</v>
      </c>
      <c r="F25" t="s" s="113">
        <v>43</v>
      </c>
      <c r="G25" t="s" s="72">
        <v>43</v>
      </c>
      <c r="H25" t="s" s="113">
        <v>43</v>
      </c>
      <c r="I25" s="74"/>
      <c r="J25" t="s" s="113">
        <v>43</v>
      </c>
      <c r="K25" t="s" s="83">
        <v>43</v>
      </c>
      <c r="L25" t="s" s="83">
        <v>161</v>
      </c>
      <c r="M25" s="79">
        <v>8</v>
      </c>
      <c r="N25" s="79">
        <v>20</v>
      </c>
      <c r="O25" s="79">
        <v>10</v>
      </c>
      <c r="P25" s="79">
        <v>8.5</v>
      </c>
      <c r="Q25" s="79">
        <v>10</v>
      </c>
      <c r="R25" s="79">
        <f>O25+P25+Q25</f>
        <v>28.5</v>
      </c>
      <c r="S25" s="79">
        <v>10</v>
      </c>
      <c r="T25" s="76"/>
      <c r="U25" s="79">
        <v>9</v>
      </c>
      <c r="V25" s="75"/>
      <c r="W25" s="79">
        <f>V25+U25+T25+S25+R25+Q25+P25+O25+N25+M25</f>
        <v>104</v>
      </c>
      <c r="X25" s="75"/>
      <c r="Y25" s="79">
        <v>5</v>
      </c>
      <c r="Z25" s="110">
        <v>10</v>
      </c>
      <c r="AA25" s="79">
        <v>10</v>
      </c>
      <c r="AB25" s="110">
        <v>10</v>
      </c>
      <c r="AC25" s="79">
        <v>16</v>
      </c>
      <c r="AD25" s="110">
        <v>5</v>
      </c>
      <c r="AE25" s="110">
        <v>30</v>
      </c>
      <c r="AF25" s="111">
        <f>Y25+Z25+AA25+AB25+AC25+AD25+AE25</f>
        <v>86</v>
      </c>
      <c r="AG25" s="75"/>
      <c r="AH25" t="s" s="83">
        <v>770</v>
      </c>
      <c r="AI25" s="76"/>
      <c r="AJ25" s="78">
        <v>21</v>
      </c>
      <c r="AK25" s="110">
        <v>10</v>
      </c>
      <c r="AL25" s="79">
        <v>20</v>
      </c>
      <c r="AM25" s="110">
        <v>20</v>
      </c>
      <c r="AN25" s="79">
        <v>10</v>
      </c>
      <c r="AO25" s="79">
        <v>15</v>
      </c>
      <c r="AP25" s="110">
        <v>8</v>
      </c>
      <c r="AQ25" s="79">
        <v>7</v>
      </c>
      <c r="AR25" s="110">
        <v>10</v>
      </c>
      <c r="AS25" s="79">
        <f>SUM(AK25:AR25)</f>
        <v>100</v>
      </c>
      <c r="AT25" s="18"/>
      <c r="AU25" s="78">
        <v>21</v>
      </c>
      <c r="AV25" s="110">
        <f>AS25+0</f>
        <v>100</v>
      </c>
      <c r="AW25" s="75"/>
      <c r="AX25" s="18"/>
      <c r="AY25" s="110">
        <f>AF25</f>
        <v>86</v>
      </c>
      <c r="AZ25" s="75"/>
      <c r="BA25" s="18"/>
      <c r="BB25" s="110">
        <v>100</v>
      </c>
      <c r="BC25" s="75"/>
      <c r="BD25" s="18"/>
      <c r="BE25" s="76"/>
      <c r="BF25" s="75"/>
      <c r="BG25" s="18"/>
      <c r="BH25" s="78">
        <v>21</v>
      </c>
      <c r="BI25" s="110">
        <f>AS25-1</f>
        <v>99</v>
      </c>
      <c r="BJ25" s="75"/>
      <c r="BK25" s="18"/>
      <c r="BL25" s="110">
        <f>AF25-1</f>
        <v>85</v>
      </c>
      <c r="BM25" s="75"/>
      <c r="BN25" s="18"/>
      <c r="BO25" s="110">
        <v>100</v>
      </c>
      <c r="BP25" s="75"/>
      <c r="BQ25" s="18"/>
      <c r="BR25" s="76"/>
      <c r="BS25" s="75"/>
      <c r="BT25" s="18"/>
      <c r="BU25" s="78">
        <v>21</v>
      </c>
      <c r="BV25" s="110">
        <v>100</v>
      </c>
      <c r="BW25" s="75"/>
      <c r="BX25" s="18"/>
      <c r="BY25" s="110">
        <f>AF25+2</f>
        <v>88</v>
      </c>
      <c r="BZ25" s="75"/>
      <c r="CA25" s="18"/>
      <c r="CB25" s="110">
        <v>100</v>
      </c>
      <c r="CC25" s="75"/>
      <c r="CD25" s="18"/>
      <c r="CE25" s="76"/>
      <c r="CF25" s="75"/>
      <c r="CG25" s="18"/>
      <c r="CH25" s="78">
        <v>21</v>
      </c>
      <c r="CI25" s="110">
        <f>AS25-1</f>
        <v>99</v>
      </c>
      <c r="CJ25" s="75"/>
      <c r="CK25" s="18"/>
      <c r="CL25" s="110">
        <f>AF25+1</f>
        <v>87</v>
      </c>
      <c r="CM25" s="75"/>
      <c r="CN25" s="18"/>
      <c r="CO25" s="110">
        <v>100</v>
      </c>
      <c r="CP25" s="75"/>
      <c r="CQ25" s="18"/>
      <c r="CR25" s="76"/>
      <c r="CS25" s="75"/>
      <c r="CT25" s="18"/>
      <c r="CU25" s="78">
        <v>21</v>
      </c>
      <c r="CV25" s="79">
        <f>(AV25+AY25+BB25+BE25)/4</f>
        <v>71.5</v>
      </c>
      <c r="CW25" s="79">
        <f>(BI25+BL25+BO25+BR25)/4</f>
        <v>71</v>
      </c>
      <c r="CX25" s="79">
        <f>(BV25+BY25+CB25+CE25)/4</f>
        <v>72</v>
      </c>
      <c r="CY25" s="79">
        <f>(CI25+CL25+CO25+CR25)/4</f>
        <v>71.5</v>
      </c>
      <c r="CZ25" s="18"/>
      <c r="DA25" s="80">
        <f>SUM(CV25:CY25)/4</f>
        <v>71.5</v>
      </c>
      <c r="DB25" s="18"/>
      <c r="DC25" s="79">
        <f>DA25*0.5</f>
        <v>35.75</v>
      </c>
      <c r="DD25" s="75"/>
      <c r="DE25" s="79">
        <f>DD25*0.5</f>
        <v>0</v>
      </c>
      <c r="DF25" s="81">
        <f>DE25+DC25</f>
        <v>35.75</v>
      </c>
      <c r="DG25" s="18"/>
      <c r="DH25" s="79">
        <f>DA25*0.3</f>
        <v>21.45</v>
      </c>
      <c r="DI25" s="75"/>
      <c r="DJ25" s="79">
        <f>DI25*0.7</f>
        <v>0</v>
      </c>
      <c r="DK25" s="81">
        <f>DJ25+DH25</f>
        <v>21.45</v>
      </c>
    </row>
    <row r="26" ht="16.5" customHeight="1">
      <c r="A26" s="105"/>
      <c r="B26" s="106">
        <v>22</v>
      </c>
      <c r="C26" t="s" s="70">
        <v>771</v>
      </c>
      <c r="D26" t="s" s="71">
        <v>772</v>
      </c>
      <c r="E26" t="s" s="72">
        <v>43</v>
      </c>
      <c r="F26" t="s" s="113">
        <v>43</v>
      </c>
      <c r="G26" t="s" s="72">
        <v>43</v>
      </c>
      <c r="H26" t="s" s="113">
        <v>43</v>
      </c>
      <c r="I26" s="74"/>
      <c r="J26" t="s" s="113">
        <v>43</v>
      </c>
      <c r="K26" t="s" s="83">
        <v>43</v>
      </c>
      <c r="L26" t="s" s="83">
        <v>43</v>
      </c>
      <c r="M26" s="79">
        <v>10</v>
      </c>
      <c r="N26" s="79">
        <v>20</v>
      </c>
      <c r="O26" s="79">
        <v>10</v>
      </c>
      <c r="P26" s="79">
        <v>10</v>
      </c>
      <c r="Q26" s="79">
        <v>10</v>
      </c>
      <c r="R26" s="79">
        <f>O26+P26+Q26</f>
        <v>30</v>
      </c>
      <c r="S26" s="79">
        <v>9</v>
      </c>
      <c r="T26" s="76"/>
      <c r="U26" s="79">
        <v>10</v>
      </c>
      <c r="V26" s="75"/>
      <c r="W26" s="79">
        <f>V26+U26+T26+S26+R26+Q26+P26+O26+N26+M26</f>
        <v>109</v>
      </c>
      <c r="X26" s="75"/>
      <c r="Y26" s="79">
        <v>10</v>
      </c>
      <c r="Z26" s="110">
        <v>10</v>
      </c>
      <c r="AA26" s="79">
        <v>9</v>
      </c>
      <c r="AB26" s="110">
        <v>10</v>
      </c>
      <c r="AC26" s="79">
        <v>17</v>
      </c>
      <c r="AD26" s="110">
        <v>10</v>
      </c>
      <c r="AE26" s="110">
        <v>30</v>
      </c>
      <c r="AF26" s="111">
        <f>Y26+Z26+AA26+AB26+AC26+AD26+AE26</f>
        <v>96</v>
      </c>
      <c r="AG26" s="75"/>
      <c r="AH26" t="s" s="83">
        <v>773</v>
      </c>
      <c r="AI26" s="76"/>
      <c r="AJ26" s="78">
        <v>22</v>
      </c>
      <c r="AK26" s="79">
        <v>10</v>
      </c>
      <c r="AL26" s="79">
        <v>20</v>
      </c>
      <c r="AM26" s="79">
        <v>20</v>
      </c>
      <c r="AN26" s="79">
        <v>0</v>
      </c>
      <c r="AO26" s="79">
        <v>10</v>
      </c>
      <c r="AP26" s="79">
        <v>8</v>
      </c>
      <c r="AQ26" s="79">
        <v>7</v>
      </c>
      <c r="AR26" s="79">
        <v>10</v>
      </c>
      <c r="AS26" s="79">
        <f>SUM(AK26:AR26)</f>
        <v>85</v>
      </c>
      <c r="AT26" s="18"/>
      <c r="AU26" s="78">
        <v>22</v>
      </c>
      <c r="AV26" s="110">
        <f>AS26+0</f>
        <v>85</v>
      </c>
      <c r="AW26" s="75"/>
      <c r="AX26" s="18"/>
      <c r="AY26" s="110">
        <f>AF26</f>
        <v>96</v>
      </c>
      <c r="AZ26" s="75"/>
      <c r="BA26" s="18"/>
      <c r="BB26" s="110">
        <v>100</v>
      </c>
      <c r="BC26" s="75"/>
      <c r="BD26" s="18"/>
      <c r="BE26" s="76"/>
      <c r="BF26" s="75"/>
      <c r="BG26" s="18"/>
      <c r="BH26" s="78">
        <v>22</v>
      </c>
      <c r="BI26" s="110">
        <f>AS26-1</f>
        <v>84</v>
      </c>
      <c r="BJ26" s="75"/>
      <c r="BK26" s="18"/>
      <c r="BL26" s="110">
        <f>AF26-1</f>
        <v>95</v>
      </c>
      <c r="BM26" s="75"/>
      <c r="BN26" s="18"/>
      <c r="BO26" s="110">
        <v>100</v>
      </c>
      <c r="BP26" s="75"/>
      <c r="BQ26" s="18"/>
      <c r="BR26" s="76"/>
      <c r="BS26" s="75"/>
      <c r="BT26" s="18"/>
      <c r="BU26" s="78">
        <v>22</v>
      </c>
      <c r="BV26" s="110">
        <f>AS26+2</f>
        <v>87</v>
      </c>
      <c r="BW26" s="75"/>
      <c r="BX26" s="18"/>
      <c r="BY26" s="110">
        <f>AF26+2</f>
        <v>98</v>
      </c>
      <c r="BZ26" s="75"/>
      <c r="CA26" s="18"/>
      <c r="CB26" s="110">
        <v>100</v>
      </c>
      <c r="CC26" s="75"/>
      <c r="CD26" s="18"/>
      <c r="CE26" s="76"/>
      <c r="CF26" s="75"/>
      <c r="CG26" s="18"/>
      <c r="CH26" s="78">
        <v>22</v>
      </c>
      <c r="CI26" s="110">
        <f>AS26-1</f>
        <v>84</v>
      </c>
      <c r="CJ26" s="75"/>
      <c r="CK26" s="18"/>
      <c r="CL26" s="110">
        <f>AF26+1</f>
        <v>97</v>
      </c>
      <c r="CM26" s="75"/>
      <c r="CN26" s="18"/>
      <c r="CO26" s="110">
        <v>100</v>
      </c>
      <c r="CP26" s="75"/>
      <c r="CQ26" s="18"/>
      <c r="CR26" s="76"/>
      <c r="CS26" s="75"/>
      <c r="CT26" s="18"/>
      <c r="CU26" s="78">
        <v>22</v>
      </c>
      <c r="CV26" s="79">
        <f>(AV26+AY26+BB26+BE26)/4</f>
        <v>70.25</v>
      </c>
      <c r="CW26" s="79">
        <f>(BI26+BL26+BO26+BR26)/4</f>
        <v>69.75</v>
      </c>
      <c r="CX26" s="79">
        <f>(BV26+BY26+CB26+CE26)/4</f>
        <v>71.25</v>
      </c>
      <c r="CY26" s="79">
        <f>(CI26+CL26+CO26+CR26)/4</f>
        <v>70.25</v>
      </c>
      <c r="CZ26" s="18"/>
      <c r="DA26" s="80">
        <f>SUM(CV26:CY26)/4</f>
        <v>70.375</v>
      </c>
      <c r="DB26" s="18"/>
      <c r="DC26" s="79">
        <f>DA26*0.5</f>
        <v>35.1875</v>
      </c>
      <c r="DD26" s="75"/>
      <c r="DE26" s="79">
        <f>DD26*0.5</f>
        <v>0</v>
      </c>
      <c r="DF26" s="81">
        <f>DE26+DC26</f>
        <v>35.1875</v>
      </c>
      <c r="DG26" s="18"/>
      <c r="DH26" s="79">
        <f>DA26*0.3</f>
        <v>21.1125</v>
      </c>
      <c r="DI26" s="75"/>
      <c r="DJ26" s="79">
        <f>DI26*0.7</f>
        <v>0</v>
      </c>
      <c r="DK26" s="81">
        <f>DJ26+DH26</f>
        <v>21.1125</v>
      </c>
    </row>
    <row r="27" ht="16.5" customHeight="1">
      <c r="A27" s="105"/>
      <c r="B27" s="106">
        <v>23</v>
      </c>
      <c r="C27" t="s" s="70">
        <v>774</v>
      </c>
      <c r="D27" t="s" s="71">
        <v>775</v>
      </c>
      <c r="E27" t="s" s="72">
        <v>43</v>
      </c>
      <c r="F27" t="s" s="113">
        <v>43</v>
      </c>
      <c r="G27" t="s" s="72">
        <v>161</v>
      </c>
      <c r="H27" t="s" s="113">
        <v>161</v>
      </c>
      <c r="I27" s="74"/>
      <c r="J27" t="s" s="113">
        <v>43</v>
      </c>
      <c r="K27" t="s" s="83">
        <v>43</v>
      </c>
      <c r="L27" t="s" s="83">
        <v>43</v>
      </c>
      <c r="M27" s="79">
        <v>10</v>
      </c>
      <c r="N27" s="79">
        <v>10</v>
      </c>
      <c r="O27" s="79">
        <v>9</v>
      </c>
      <c r="P27" s="79">
        <v>8.5</v>
      </c>
      <c r="Q27" s="79">
        <v>9</v>
      </c>
      <c r="R27" s="79">
        <f>O27+P27+Q27</f>
        <v>26.5</v>
      </c>
      <c r="S27" s="79">
        <v>10</v>
      </c>
      <c r="T27" s="76"/>
      <c r="U27" s="79">
        <v>4</v>
      </c>
      <c r="V27" s="75"/>
      <c r="W27" s="79">
        <f>V27+U27+T27+S27+R27+Q27+P27+O27+N27+M27</f>
        <v>87</v>
      </c>
      <c r="X27" s="75"/>
      <c r="Y27" s="79">
        <v>10</v>
      </c>
      <c r="Z27" s="110">
        <v>8</v>
      </c>
      <c r="AA27" s="79">
        <v>10</v>
      </c>
      <c r="AB27" s="110">
        <v>10</v>
      </c>
      <c r="AC27" s="79">
        <v>18</v>
      </c>
      <c r="AD27" s="110">
        <v>10</v>
      </c>
      <c r="AE27" s="110">
        <v>30</v>
      </c>
      <c r="AF27" s="111">
        <f>Y27+Z27+AA27+AB27+AC27+AD27+AE27</f>
        <v>96</v>
      </c>
      <c r="AG27" s="75"/>
      <c r="AH27" t="s" s="83">
        <v>776</v>
      </c>
      <c r="AI27" s="76"/>
      <c r="AJ27" s="78">
        <v>23</v>
      </c>
      <c r="AK27" s="123">
        <v>10</v>
      </c>
      <c r="AL27" s="123">
        <v>0</v>
      </c>
      <c r="AM27" s="123">
        <v>20</v>
      </c>
      <c r="AN27" s="123">
        <v>0</v>
      </c>
      <c r="AO27" s="123">
        <v>0</v>
      </c>
      <c r="AP27" s="123">
        <v>7</v>
      </c>
      <c r="AQ27" s="123">
        <v>7</v>
      </c>
      <c r="AR27" s="123">
        <v>10</v>
      </c>
      <c r="AS27" s="123">
        <f>SUM(AK27:AR27)</f>
        <v>54</v>
      </c>
      <c r="AT27" s="18"/>
      <c r="AU27" s="78">
        <v>23</v>
      </c>
      <c r="AV27" s="110">
        <f>AS27+0</f>
        <v>54</v>
      </c>
      <c r="AW27" s="79">
        <v>85</v>
      </c>
      <c r="AX27" s="18"/>
      <c r="AY27" s="110">
        <f>AF27</f>
        <v>96</v>
      </c>
      <c r="AZ27" s="75"/>
      <c r="BA27" s="18"/>
      <c r="BB27" s="110">
        <f>W27</f>
        <v>87</v>
      </c>
      <c r="BC27" s="75"/>
      <c r="BD27" s="18"/>
      <c r="BE27" s="76"/>
      <c r="BF27" s="75"/>
      <c r="BG27" s="18"/>
      <c r="BH27" s="78">
        <v>23</v>
      </c>
      <c r="BI27" s="110">
        <f>AS27-1</f>
        <v>53</v>
      </c>
      <c r="BJ27" s="79">
        <v>85</v>
      </c>
      <c r="BK27" s="18"/>
      <c r="BL27" s="110">
        <f>AF27-1</f>
        <v>95</v>
      </c>
      <c r="BM27" s="75"/>
      <c r="BN27" s="18"/>
      <c r="BO27" s="110">
        <f>W27-1</f>
        <v>86</v>
      </c>
      <c r="BP27" s="75"/>
      <c r="BQ27" s="18"/>
      <c r="BR27" s="76"/>
      <c r="BS27" s="75"/>
      <c r="BT27" s="18"/>
      <c r="BU27" s="78">
        <v>23</v>
      </c>
      <c r="BV27" s="110">
        <f>AS27+2</f>
        <v>56</v>
      </c>
      <c r="BW27" s="79">
        <v>85</v>
      </c>
      <c r="BX27" s="18"/>
      <c r="BY27" s="110">
        <f>AF27+2</f>
        <v>98</v>
      </c>
      <c r="BZ27" s="75"/>
      <c r="CA27" s="18"/>
      <c r="CB27" s="110">
        <f>W27+2</f>
        <v>89</v>
      </c>
      <c r="CC27" s="75"/>
      <c r="CD27" s="18"/>
      <c r="CE27" s="76"/>
      <c r="CF27" s="75"/>
      <c r="CG27" s="18"/>
      <c r="CH27" s="78">
        <v>23</v>
      </c>
      <c r="CI27" s="110">
        <f>AS27-1</f>
        <v>53</v>
      </c>
      <c r="CJ27" s="79">
        <v>85</v>
      </c>
      <c r="CK27" s="18"/>
      <c r="CL27" s="110">
        <f>AF27+1</f>
        <v>97</v>
      </c>
      <c r="CM27" s="75"/>
      <c r="CN27" s="18"/>
      <c r="CO27" s="110">
        <f>W27+1</f>
        <v>88</v>
      </c>
      <c r="CP27" s="75"/>
      <c r="CQ27" s="18"/>
      <c r="CR27" s="76"/>
      <c r="CS27" s="75"/>
      <c r="CT27" s="18"/>
      <c r="CU27" s="78">
        <v>23</v>
      </c>
      <c r="CV27" s="79">
        <f>(AV27+AY27+BB27+BE27)/4</f>
        <v>59.25</v>
      </c>
      <c r="CW27" s="79">
        <f>(BI27+BL27+BO27+BR27)/4</f>
        <v>58.5</v>
      </c>
      <c r="CX27" s="79">
        <f>(BV27+BY27+CB27+CE27)/4</f>
        <v>60.75</v>
      </c>
      <c r="CY27" s="79">
        <f>(CI27+CL27+CO27+CR27)/4</f>
        <v>59.5</v>
      </c>
      <c r="CZ27" s="18"/>
      <c r="DA27" s="80">
        <f>SUM(CV27:CY27)/4</f>
        <v>59.5</v>
      </c>
      <c r="DB27" s="18"/>
      <c r="DC27" s="79">
        <f>DA27*0.5</f>
        <v>29.75</v>
      </c>
      <c r="DD27" s="75"/>
      <c r="DE27" s="79">
        <f>DD27*0.5</f>
        <v>0</v>
      </c>
      <c r="DF27" s="81">
        <f>DE27+DC27</f>
        <v>29.75</v>
      </c>
      <c r="DG27" s="18"/>
      <c r="DH27" s="79">
        <f>DA27*0.3</f>
        <v>17.85</v>
      </c>
      <c r="DI27" s="75"/>
      <c r="DJ27" s="79">
        <f>DI27*0.7</f>
        <v>0</v>
      </c>
      <c r="DK27" s="81">
        <f>DJ27+DH27</f>
        <v>17.85</v>
      </c>
    </row>
    <row r="28" ht="16.5" customHeight="1">
      <c r="A28" s="31">
        <v>1</v>
      </c>
      <c r="B28" s="106">
        <v>24</v>
      </c>
      <c r="C28" t="s" s="70">
        <v>777</v>
      </c>
      <c r="D28" t="s" s="71">
        <v>778</v>
      </c>
      <c r="E28" t="s" s="72">
        <v>43</v>
      </c>
      <c r="F28" t="s" s="113">
        <v>43</v>
      </c>
      <c r="G28" t="s" s="72">
        <v>43</v>
      </c>
      <c r="H28" t="s" s="113">
        <v>43</v>
      </c>
      <c r="I28" s="74"/>
      <c r="J28" t="s" s="113">
        <v>43</v>
      </c>
      <c r="K28" t="s" s="83">
        <v>43</v>
      </c>
      <c r="L28" t="s" s="83">
        <v>43</v>
      </c>
      <c r="M28" s="79">
        <v>10</v>
      </c>
      <c r="N28" s="79">
        <v>12</v>
      </c>
      <c r="O28" s="79">
        <v>9</v>
      </c>
      <c r="P28" s="79">
        <v>8</v>
      </c>
      <c r="Q28" s="79">
        <v>8.5</v>
      </c>
      <c r="R28" s="79">
        <f>O28+P28+Q28</f>
        <v>25.5</v>
      </c>
      <c r="S28" s="79">
        <v>10</v>
      </c>
      <c r="T28" s="76"/>
      <c r="U28" s="79">
        <v>10</v>
      </c>
      <c r="V28" s="75"/>
      <c r="W28" s="79">
        <f>V28+U28+T28+S28+R28+Q28+P28+O28+N28+M28</f>
        <v>93</v>
      </c>
      <c r="X28" s="75"/>
      <c r="Y28" s="79">
        <v>5</v>
      </c>
      <c r="Z28" s="110">
        <v>10</v>
      </c>
      <c r="AA28" s="79">
        <v>10</v>
      </c>
      <c r="AB28" s="110">
        <v>10</v>
      </c>
      <c r="AC28" s="79">
        <v>15</v>
      </c>
      <c r="AD28" s="110">
        <v>10</v>
      </c>
      <c r="AE28" s="110">
        <v>30</v>
      </c>
      <c r="AF28" s="111">
        <f>Y28+Z28+AA28+AB28+AC28+AD28+AE28</f>
        <v>90</v>
      </c>
      <c r="AG28" s="75"/>
      <c r="AH28" t="s" s="83">
        <v>779</v>
      </c>
      <c r="AI28" s="76"/>
      <c r="AJ28" s="78">
        <v>24</v>
      </c>
      <c r="AK28" s="110">
        <v>10</v>
      </c>
      <c r="AL28" s="79">
        <v>20</v>
      </c>
      <c r="AM28" s="110">
        <v>20</v>
      </c>
      <c r="AN28" s="79">
        <v>10</v>
      </c>
      <c r="AO28" s="79">
        <v>15</v>
      </c>
      <c r="AP28" s="110">
        <v>10</v>
      </c>
      <c r="AQ28" s="79">
        <v>5</v>
      </c>
      <c r="AR28" s="110">
        <v>10</v>
      </c>
      <c r="AS28" s="79">
        <f>SUM(AK28:AR28)</f>
        <v>100</v>
      </c>
      <c r="AT28" s="18"/>
      <c r="AU28" s="78">
        <v>24</v>
      </c>
      <c r="AV28" s="110">
        <f>AS28+0</f>
        <v>100</v>
      </c>
      <c r="AW28" s="75"/>
      <c r="AX28" s="18"/>
      <c r="AY28" s="110">
        <f>AF28</f>
        <v>90</v>
      </c>
      <c r="AZ28" s="75"/>
      <c r="BA28" s="18"/>
      <c r="BB28" s="110">
        <f>W28</f>
        <v>93</v>
      </c>
      <c r="BC28" s="75"/>
      <c r="BD28" s="18"/>
      <c r="BE28" s="76"/>
      <c r="BF28" s="75"/>
      <c r="BG28" s="18"/>
      <c r="BH28" s="78">
        <v>24</v>
      </c>
      <c r="BI28" s="110">
        <v>100</v>
      </c>
      <c r="BJ28" s="75"/>
      <c r="BK28" s="18"/>
      <c r="BL28" s="110">
        <f>AF28-1</f>
        <v>89</v>
      </c>
      <c r="BM28" s="75"/>
      <c r="BN28" s="18"/>
      <c r="BO28" s="110">
        <f>W28-1</f>
        <v>92</v>
      </c>
      <c r="BP28" s="75"/>
      <c r="BQ28" s="18"/>
      <c r="BR28" s="76"/>
      <c r="BS28" s="75"/>
      <c r="BT28" s="18"/>
      <c r="BU28" s="78">
        <v>24</v>
      </c>
      <c r="BV28" s="110">
        <v>100</v>
      </c>
      <c r="BW28" s="75"/>
      <c r="BX28" s="18"/>
      <c r="BY28" s="110">
        <f>AF28+2</f>
        <v>92</v>
      </c>
      <c r="BZ28" s="75"/>
      <c r="CA28" s="18"/>
      <c r="CB28" s="110">
        <f>W28+2</f>
        <v>95</v>
      </c>
      <c r="CC28" s="75"/>
      <c r="CD28" s="18"/>
      <c r="CE28" s="76"/>
      <c r="CF28" s="75"/>
      <c r="CG28" s="18"/>
      <c r="CH28" s="78">
        <v>24</v>
      </c>
      <c r="CI28" s="110">
        <f>AS28-1</f>
        <v>99</v>
      </c>
      <c r="CJ28" s="75"/>
      <c r="CK28" s="18"/>
      <c r="CL28" s="110">
        <f>AF28+1</f>
        <v>91</v>
      </c>
      <c r="CM28" s="75"/>
      <c r="CN28" s="18"/>
      <c r="CO28" s="110">
        <f>W28+1</f>
        <v>94</v>
      </c>
      <c r="CP28" s="75"/>
      <c r="CQ28" s="18"/>
      <c r="CR28" s="76"/>
      <c r="CS28" s="75"/>
      <c r="CT28" s="18"/>
      <c r="CU28" s="78">
        <v>24</v>
      </c>
      <c r="CV28" s="79">
        <f>(AV28+AY28+BB28+BE28)/4</f>
        <v>70.75</v>
      </c>
      <c r="CW28" s="79">
        <f>(BI28+BL28+BO28+BR28)/4</f>
        <v>70.25</v>
      </c>
      <c r="CX28" s="79">
        <f>(BV28+BY28+CB28+CE28)/4</f>
        <v>71.75</v>
      </c>
      <c r="CY28" s="79">
        <f>(CI28+CL28+CO28+CR28)/4</f>
        <v>71</v>
      </c>
      <c r="CZ28" s="18"/>
      <c r="DA28" s="80">
        <f>SUM(CV28:CY28)/4</f>
        <v>70.9375</v>
      </c>
      <c r="DB28" s="18"/>
      <c r="DC28" s="79">
        <f>DA28*0.5</f>
        <v>35.46875</v>
      </c>
      <c r="DD28" s="75"/>
      <c r="DE28" s="79">
        <f>DD28*0.5</f>
        <v>0</v>
      </c>
      <c r="DF28" s="81">
        <f>DE28+DC28</f>
        <v>35.46875</v>
      </c>
      <c r="DG28" s="18"/>
      <c r="DH28" s="79">
        <f>DA28*0.3</f>
        <v>21.28125</v>
      </c>
      <c r="DI28" s="75"/>
      <c r="DJ28" s="79">
        <f>DI28*0.7</f>
        <v>0</v>
      </c>
      <c r="DK28" s="81">
        <f>DJ28+DH28</f>
        <v>21.28125</v>
      </c>
    </row>
    <row r="29" ht="16.5" customHeight="1">
      <c r="A29" s="105"/>
      <c r="B29" s="106">
        <v>25</v>
      </c>
      <c r="C29" t="s" s="70">
        <v>780</v>
      </c>
      <c r="D29" t="s" s="71">
        <v>781</v>
      </c>
      <c r="E29" t="s" s="72">
        <v>43</v>
      </c>
      <c r="F29" t="s" s="113">
        <v>43</v>
      </c>
      <c r="G29" t="s" s="72">
        <v>43</v>
      </c>
      <c r="H29" t="s" s="113">
        <v>43</v>
      </c>
      <c r="I29" s="74"/>
      <c r="J29" t="s" s="113">
        <v>43</v>
      </c>
      <c r="K29" t="s" s="83">
        <v>43</v>
      </c>
      <c r="L29" t="s" s="83">
        <v>43</v>
      </c>
      <c r="M29" s="79">
        <v>10</v>
      </c>
      <c r="N29" s="75"/>
      <c r="O29" s="79">
        <v>9</v>
      </c>
      <c r="P29" s="79">
        <v>9</v>
      </c>
      <c r="Q29" s="79">
        <v>10</v>
      </c>
      <c r="R29" s="79">
        <f>O29+P29+Q29</f>
        <v>28</v>
      </c>
      <c r="S29" s="79">
        <v>10</v>
      </c>
      <c r="T29" s="76"/>
      <c r="U29" s="79">
        <v>0</v>
      </c>
      <c r="V29" s="75"/>
      <c r="W29" s="79">
        <f>V29+U29+T29+S29+R29+Q29+P29+O29+N29+M29</f>
        <v>76</v>
      </c>
      <c r="X29" s="75"/>
      <c r="Y29" s="79">
        <v>10</v>
      </c>
      <c r="Z29" s="110">
        <v>10</v>
      </c>
      <c r="AA29" s="79">
        <v>10</v>
      </c>
      <c r="AB29" s="110">
        <v>10</v>
      </c>
      <c r="AC29" s="79">
        <v>19</v>
      </c>
      <c r="AD29" s="110">
        <v>5</v>
      </c>
      <c r="AE29" s="110">
        <v>30</v>
      </c>
      <c r="AF29" s="111">
        <f>Y29+Z29+AA29+AB29+AC29+AD29+AE29</f>
        <v>94</v>
      </c>
      <c r="AG29" s="75"/>
      <c r="AH29" t="s" s="83">
        <v>782</v>
      </c>
      <c r="AI29" s="76"/>
      <c r="AJ29" s="78">
        <v>25</v>
      </c>
      <c r="AK29" s="123">
        <v>10</v>
      </c>
      <c r="AL29" s="123">
        <v>0</v>
      </c>
      <c r="AM29" s="123">
        <v>20</v>
      </c>
      <c r="AN29" s="123">
        <v>7</v>
      </c>
      <c r="AO29" s="123">
        <v>0</v>
      </c>
      <c r="AP29" s="123">
        <v>7</v>
      </c>
      <c r="AQ29" s="123">
        <v>7</v>
      </c>
      <c r="AR29" s="123">
        <v>10</v>
      </c>
      <c r="AS29" s="123">
        <f>SUM(AK29:AR29)</f>
        <v>61</v>
      </c>
      <c r="AT29" s="18"/>
      <c r="AU29" s="78">
        <v>25</v>
      </c>
      <c r="AV29" s="110">
        <f>AS29+0</f>
        <v>61</v>
      </c>
      <c r="AW29" s="79">
        <v>85</v>
      </c>
      <c r="AX29" s="18"/>
      <c r="AY29" s="110">
        <f>AF29</f>
        <v>94</v>
      </c>
      <c r="AZ29" s="75"/>
      <c r="BA29" s="18"/>
      <c r="BB29" s="110">
        <f>W29</f>
        <v>76</v>
      </c>
      <c r="BC29" s="75"/>
      <c r="BD29" s="18"/>
      <c r="BE29" s="76"/>
      <c r="BF29" s="75"/>
      <c r="BG29" s="18"/>
      <c r="BH29" s="78">
        <v>25</v>
      </c>
      <c r="BI29" s="110">
        <f>AS29-1</f>
        <v>60</v>
      </c>
      <c r="BJ29" s="79">
        <v>85</v>
      </c>
      <c r="BK29" s="18"/>
      <c r="BL29" s="110">
        <f>AF29-1</f>
        <v>93</v>
      </c>
      <c r="BM29" s="75"/>
      <c r="BN29" s="18"/>
      <c r="BO29" s="110">
        <f>W29-1</f>
        <v>75</v>
      </c>
      <c r="BP29" s="75"/>
      <c r="BQ29" s="18"/>
      <c r="BR29" s="76"/>
      <c r="BS29" s="75"/>
      <c r="BT29" s="18"/>
      <c r="BU29" s="78">
        <v>25</v>
      </c>
      <c r="BV29" s="110">
        <f>AS29+2</f>
        <v>63</v>
      </c>
      <c r="BW29" s="79">
        <v>85</v>
      </c>
      <c r="BX29" s="18"/>
      <c r="BY29" s="110">
        <f>AF29+2</f>
        <v>96</v>
      </c>
      <c r="BZ29" s="75"/>
      <c r="CA29" s="18"/>
      <c r="CB29" s="110">
        <f>W29+2</f>
        <v>78</v>
      </c>
      <c r="CC29" s="75"/>
      <c r="CD29" s="18"/>
      <c r="CE29" s="76"/>
      <c r="CF29" s="75"/>
      <c r="CG29" s="18"/>
      <c r="CH29" s="78">
        <v>25</v>
      </c>
      <c r="CI29" s="110">
        <f>AS29-1</f>
        <v>60</v>
      </c>
      <c r="CJ29" s="79">
        <v>85</v>
      </c>
      <c r="CK29" s="18"/>
      <c r="CL29" s="110">
        <f>AF29+1</f>
        <v>95</v>
      </c>
      <c r="CM29" s="75"/>
      <c r="CN29" s="18"/>
      <c r="CO29" s="110">
        <f>W29+1</f>
        <v>77</v>
      </c>
      <c r="CP29" s="75"/>
      <c r="CQ29" s="18"/>
      <c r="CR29" s="76"/>
      <c r="CS29" s="75"/>
      <c r="CT29" s="18"/>
      <c r="CU29" s="78">
        <v>25</v>
      </c>
      <c r="CV29" s="79">
        <f>(AV29+AY29+BB29+BE29)/4</f>
        <v>57.75</v>
      </c>
      <c r="CW29" s="79">
        <f>(BI29+BL29+BO29+BR29)/4</f>
        <v>57</v>
      </c>
      <c r="CX29" s="79">
        <f>(BV29+BY29+CB29+CE29)/4</f>
        <v>59.25</v>
      </c>
      <c r="CY29" s="79">
        <f>(CI29+CL29+CO29+CR29)/4</f>
        <v>58</v>
      </c>
      <c r="CZ29" s="18"/>
      <c r="DA29" s="80">
        <f>SUM(CV29:CY29)/4</f>
        <v>58</v>
      </c>
      <c r="DB29" s="18"/>
      <c r="DC29" s="79">
        <f>DA29*0.5</f>
        <v>29</v>
      </c>
      <c r="DD29" s="75"/>
      <c r="DE29" s="79">
        <f>DD29*0.5</f>
        <v>0</v>
      </c>
      <c r="DF29" s="81">
        <f>DE29+DC29</f>
        <v>29</v>
      </c>
      <c r="DG29" s="18"/>
      <c r="DH29" s="79">
        <f>DA29*0.3</f>
        <v>17.4</v>
      </c>
      <c r="DI29" s="75"/>
      <c r="DJ29" s="79">
        <f>DI29*0.7</f>
        <v>0</v>
      </c>
      <c r="DK29" s="81">
        <f>DJ29+DH29</f>
        <v>17.4</v>
      </c>
    </row>
    <row r="30" ht="16.5" customHeight="1">
      <c r="A30" s="31">
        <v>420</v>
      </c>
      <c r="B30" s="106">
        <v>26</v>
      </c>
      <c r="C30" t="s" s="70">
        <v>783</v>
      </c>
      <c r="D30" t="s" s="71">
        <v>784</v>
      </c>
      <c r="E30" t="s" s="72">
        <v>162</v>
      </c>
      <c r="F30" t="s" s="113">
        <v>43</v>
      </c>
      <c r="G30" t="s" s="72">
        <v>43</v>
      </c>
      <c r="H30" t="s" s="113">
        <v>161</v>
      </c>
      <c r="I30" s="74"/>
      <c r="J30" t="s" s="113">
        <v>43</v>
      </c>
      <c r="K30" t="s" s="83">
        <v>43</v>
      </c>
      <c r="L30" t="s" s="83">
        <v>43</v>
      </c>
      <c r="M30" s="79">
        <v>10</v>
      </c>
      <c r="N30" s="79">
        <v>19</v>
      </c>
      <c r="O30" s="79">
        <v>9</v>
      </c>
      <c r="P30" s="79">
        <v>7</v>
      </c>
      <c r="Q30" s="79">
        <v>7</v>
      </c>
      <c r="R30" s="79">
        <f>O30+P30+Q30</f>
        <v>23</v>
      </c>
      <c r="S30" s="79">
        <v>10</v>
      </c>
      <c r="T30" s="76"/>
      <c r="U30" s="79">
        <v>5</v>
      </c>
      <c r="V30" s="75"/>
      <c r="W30" s="79">
        <f>V30+U30+T30+S30+R30+Q30+P30+O30+N30+M30</f>
        <v>90</v>
      </c>
      <c r="X30" s="75"/>
      <c r="Y30" s="79">
        <v>10</v>
      </c>
      <c r="Z30" s="110">
        <v>8</v>
      </c>
      <c r="AA30" s="79">
        <v>10</v>
      </c>
      <c r="AB30" s="110">
        <v>10</v>
      </c>
      <c r="AC30" s="79">
        <v>20</v>
      </c>
      <c r="AD30" s="110">
        <v>10</v>
      </c>
      <c r="AE30" s="110">
        <v>30</v>
      </c>
      <c r="AF30" s="111">
        <f>Y30+Z30+AA30+AB30+AC30+AD30+AE30</f>
        <v>98</v>
      </c>
      <c r="AG30" s="75"/>
      <c r="AH30" t="s" s="83">
        <v>785</v>
      </c>
      <c r="AI30" s="76"/>
      <c r="AJ30" s="78">
        <v>26</v>
      </c>
      <c r="AK30" s="110">
        <v>10</v>
      </c>
      <c r="AL30" s="79">
        <v>19</v>
      </c>
      <c r="AM30" s="110">
        <v>20</v>
      </c>
      <c r="AN30" s="79">
        <v>10</v>
      </c>
      <c r="AO30" s="79">
        <v>15</v>
      </c>
      <c r="AP30" s="110">
        <v>8</v>
      </c>
      <c r="AQ30" s="79">
        <v>7</v>
      </c>
      <c r="AR30" s="110">
        <v>10</v>
      </c>
      <c r="AS30" s="79">
        <f>SUM(AK30:AR30)</f>
        <v>99</v>
      </c>
      <c r="AT30" s="18"/>
      <c r="AU30" s="78">
        <v>26</v>
      </c>
      <c r="AV30" s="110">
        <f>AS30+0</f>
        <v>99</v>
      </c>
      <c r="AW30" s="75"/>
      <c r="AX30" s="18"/>
      <c r="AY30" s="110">
        <f>AF30</f>
        <v>98</v>
      </c>
      <c r="AZ30" s="75"/>
      <c r="BA30" s="18"/>
      <c r="BB30" s="110">
        <f>W30</f>
        <v>90</v>
      </c>
      <c r="BC30" s="75"/>
      <c r="BD30" s="18"/>
      <c r="BE30" s="76"/>
      <c r="BF30" s="75"/>
      <c r="BG30" s="18"/>
      <c r="BH30" s="78">
        <v>26</v>
      </c>
      <c r="BI30" s="110">
        <f>AS30-1</f>
        <v>98</v>
      </c>
      <c r="BJ30" s="75"/>
      <c r="BK30" s="18"/>
      <c r="BL30" s="110">
        <f>AF30-1</f>
        <v>97</v>
      </c>
      <c r="BM30" s="75"/>
      <c r="BN30" s="18"/>
      <c r="BO30" s="110">
        <f>W30-1</f>
        <v>89</v>
      </c>
      <c r="BP30" s="75"/>
      <c r="BQ30" s="18"/>
      <c r="BR30" s="76"/>
      <c r="BS30" s="75"/>
      <c r="BT30" s="18"/>
      <c r="BU30" s="78">
        <v>26</v>
      </c>
      <c r="BV30" s="110">
        <v>100</v>
      </c>
      <c r="BW30" s="75"/>
      <c r="BX30" s="18"/>
      <c r="BY30" s="110">
        <f>AF30+2</f>
        <v>100</v>
      </c>
      <c r="BZ30" s="75"/>
      <c r="CA30" s="18"/>
      <c r="CB30" s="110">
        <f>W30+2</f>
        <v>92</v>
      </c>
      <c r="CC30" s="75"/>
      <c r="CD30" s="18"/>
      <c r="CE30" s="76"/>
      <c r="CF30" s="75"/>
      <c r="CG30" s="18"/>
      <c r="CH30" s="78">
        <v>26</v>
      </c>
      <c r="CI30" s="110">
        <f>AS30-1</f>
        <v>98</v>
      </c>
      <c r="CJ30" s="75"/>
      <c r="CK30" s="18"/>
      <c r="CL30" s="110">
        <f>AF30+1</f>
        <v>99</v>
      </c>
      <c r="CM30" s="75"/>
      <c r="CN30" s="18"/>
      <c r="CO30" s="110">
        <f>W30+1</f>
        <v>91</v>
      </c>
      <c r="CP30" s="75"/>
      <c r="CQ30" s="18"/>
      <c r="CR30" s="76"/>
      <c r="CS30" s="75"/>
      <c r="CT30" s="18"/>
      <c r="CU30" s="78">
        <v>26</v>
      </c>
      <c r="CV30" s="79">
        <f>(AV30+AY30+BB30+BE30)/4</f>
        <v>71.75</v>
      </c>
      <c r="CW30" s="79">
        <f>(BI30+BL30+BO30+BR30)/4</f>
        <v>71</v>
      </c>
      <c r="CX30" s="79">
        <f>(BV30+BY30+CB30+CE30)/4</f>
        <v>73</v>
      </c>
      <c r="CY30" s="79">
        <f>(CI30+CL30+CO30+CR30)/4</f>
        <v>72</v>
      </c>
      <c r="CZ30" s="18"/>
      <c r="DA30" s="80">
        <f>SUM(CV30:CY30)/4</f>
        <v>71.9375</v>
      </c>
      <c r="DB30" s="18"/>
      <c r="DC30" s="79">
        <f>DA30*0.5</f>
        <v>35.96875</v>
      </c>
      <c r="DD30" s="75"/>
      <c r="DE30" s="79">
        <f>DD30*0.5</f>
        <v>0</v>
      </c>
      <c r="DF30" s="81">
        <f>DE30+DC30</f>
        <v>35.96875</v>
      </c>
      <c r="DG30" s="18"/>
      <c r="DH30" s="79">
        <f>DA30*0.3</f>
        <v>21.58125</v>
      </c>
      <c r="DI30" s="75"/>
      <c r="DJ30" s="79">
        <f>DI30*0.7</f>
        <v>0</v>
      </c>
      <c r="DK30" s="81">
        <f>DJ30+DH30</f>
        <v>21.58125</v>
      </c>
    </row>
    <row r="31" ht="16.5" customHeight="1">
      <c r="A31" s="31">
        <v>420</v>
      </c>
      <c r="B31" s="106">
        <v>27</v>
      </c>
      <c r="C31" t="s" s="70">
        <v>786</v>
      </c>
      <c r="D31" t="s" s="71">
        <v>787</v>
      </c>
      <c r="E31" t="s" s="72">
        <v>161</v>
      </c>
      <c r="F31" t="s" s="113">
        <v>161</v>
      </c>
      <c r="G31" t="s" s="72">
        <v>161</v>
      </c>
      <c r="H31" t="s" s="113">
        <v>788</v>
      </c>
      <c r="I31" s="74"/>
      <c r="J31" t="s" s="113">
        <v>43</v>
      </c>
      <c r="K31" t="s" s="83">
        <v>43</v>
      </c>
      <c r="L31" t="s" s="83">
        <v>43</v>
      </c>
      <c r="M31" s="79">
        <v>10</v>
      </c>
      <c r="N31" s="79">
        <v>18</v>
      </c>
      <c r="O31" s="79">
        <v>10</v>
      </c>
      <c r="P31" s="79">
        <v>8.5</v>
      </c>
      <c r="Q31" s="79">
        <v>10</v>
      </c>
      <c r="R31" s="79">
        <f>O31+P31+Q31</f>
        <v>28.5</v>
      </c>
      <c r="S31" s="79">
        <v>9</v>
      </c>
      <c r="T31" s="76"/>
      <c r="U31" s="79">
        <v>10</v>
      </c>
      <c r="V31" s="75"/>
      <c r="W31" s="79">
        <f>V31+U31+T31+S31+R31+Q31+P31+O31+N31+M31</f>
        <v>104</v>
      </c>
      <c r="X31" s="75"/>
      <c r="Y31" s="79">
        <v>5</v>
      </c>
      <c r="Z31" s="110">
        <v>10</v>
      </c>
      <c r="AA31" s="79">
        <v>9</v>
      </c>
      <c r="AB31" s="110">
        <v>10</v>
      </c>
      <c r="AC31" s="79">
        <v>19</v>
      </c>
      <c r="AD31" s="110">
        <v>5</v>
      </c>
      <c r="AE31" s="110">
        <v>30</v>
      </c>
      <c r="AF31" s="111">
        <f>Y31+Z31+AA31+AB31+AC31+AD31+AE31</f>
        <v>88</v>
      </c>
      <c r="AG31" s="75"/>
      <c r="AH31" t="s" s="83">
        <v>789</v>
      </c>
      <c r="AI31" s="76"/>
      <c r="AJ31" s="78">
        <v>27</v>
      </c>
      <c r="AK31" s="110">
        <v>10</v>
      </c>
      <c r="AL31" s="79">
        <v>20</v>
      </c>
      <c r="AM31" s="110">
        <v>20</v>
      </c>
      <c r="AN31" s="79">
        <v>10</v>
      </c>
      <c r="AO31" s="79">
        <v>15</v>
      </c>
      <c r="AP31" s="110">
        <v>8</v>
      </c>
      <c r="AQ31" s="79">
        <v>7</v>
      </c>
      <c r="AR31" s="110">
        <v>10</v>
      </c>
      <c r="AS31" s="79">
        <f>SUM(AK31:AR31)</f>
        <v>100</v>
      </c>
      <c r="AT31" s="18"/>
      <c r="AU31" s="78">
        <v>27</v>
      </c>
      <c r="AV31" s="110">
        <f>AS31+0</f>
        <v>100</v>
      </c>
      <c r="AW31" s="75"/>
      <c r="AX31" s="18"/>
      <c r="AY31" s="110">
        <f>AF31</f>
        <v>88</v>
      </c>
      <c r="AZ31" s="75"/>
      <c r="BA31" s="18"/>
      <c r="BB31" s="110">
        <v>100</v>
      </c>
      <c r="BC31" s="75"/>
      <c r="BD31" s="18"/>
      <c r="BE31" s="76"/>
      <c r="BF31" s="75"/>
      <c r="BG31" s="18"/>
      <c r="BH31" s="78">
        <v>27</v>
      </c>
      <c r="BI31" s="110">
        <v>100</v>
      </c>
      <c r="BJ31" s="75"/>
      <c r="BK31" s="18"/>
      <c r="BL31" s="110">
        <f>AF31-1</f>
        <v>87</v>
      </c>
      <c r="BM31" s="75"/>
      <c r="BN31" s="18"/>
      <c r="BO31" s="110">
        <v>100</v>
      </c>
      <c r="BP31" s="75"/>
      <c r="BQ31" s="18"/>
      <c r="BR31" s="76"/>
      <c r="BS31" s="75"/>
      <c r="BT31" s="18"/>
      <c r="BU31" s="78">
        <v>27</v>
      </c>
      <c r="BV31" s="110">
        <v>100</v>
      </c>
      <c r="BW31" s="75"/>
      <c r="BX31" s="18"/>
      <c r="BY31" s="110">
        <f>AF31+2</f>
        <v>90</v>
      </c>
      <c r="BZ31" s="75"/>
      <c r="CA31" s="18"/>
      <c r="CB31" s="110">
        <v>100</v>
      </c>
      <c r="CC31" s="75"/>
      <c r="CD31" s="18"/>
      <c r="CE31" s="76"/>
      <c r="CF31" s="75"/>
      <c r="CG31" s="18"/>
      <c r="CH31" s="78">
        <v>27</v>
      </c>
      <c r="CI31" s="110">
        <f>AS31-1</f>
        <v>99</v>
      </c>
      <c r="CJ31" s="75"/>
      <c r="CK31" s="18"/>
      <c r="CL31" s="110">
        <f>AF31+1</f>
        <v>89</v>
      </c>
      <c r="CM31" s="75"/>
      <c r="CN31" s="18"/>
      <c r="CO31" s="110">
        <v>100</v>
      </c>
      <c r="CP31" s="75"/>
      <c r="CQ31" s="18"/>
      <c r="CR31" s="76"/>
      <c r="CS31" s="75"/>
      <c r="CT31" s="18"/>
      <c r="CU31" s="78">
        <v>27</v>
      </c>
      <c r="CV31" s="79">
        <f>(AV31+AY31+BB31+BE31)/4</f>
        <v>72</v>
      </c>
      <c r="CW31" s="79">
        <f>(BI31+BL31+BO31+BR31)/4</f>
        <v>71.75</v>
      </c>
      <c r="CX31" s="79">
        <f>(BV31+BY31+CB31+CE31)/4</f>
        <v>72.5</v>
      </c>
      <c r="CY31" s="79">
        <f>(CI31+CL31+CO31+CR31)/4</f>
        <v>72</v>
      </c>
      <c r="CZ31" s="18"/>
      <c r="DA31" s="80">
        <f>SUM(CV31:CY31)/4</f>
        <v>72.0625</v>
      </c>
      <c r="DB31" s="18"/>
      <c r="DC31" s="79">
        <f>DA31*0.5</f>
        <v>36.03125</v>
      </c>
      <c r="DD31" s="75"/>
      <c r="DE31" s="79">
        <f>DD31*0.5</f>
        <v>0</v>
      </c>
      <c r="DF31" s="81">
        <f>DE31+DC31</f>
        <v>36.03125</v>
      </c>
      <c r="DG31" s="18"/>
      <c r="DH31" s="79">
        <f>DA31*0.3</f>
        <v>21.61875</v>
      </c>
      <c r="DI31" s="75"/>
      <c r="DJ31" s="79">
        <f>DI31*0.7</f>
        <v>0</v>
      </c>
      <c r="DK31" s="81">
        <f>DJ31+DH31</f>
        <v>21.61875</v>
      </c>
    </row>
    <row r="32" ht="16.5" customHeight="1">
      <c r="A32" s="31">
        <f>A30+A31</f>
        <v>840</v>
      </c>
      <c r="B32" s="106">
        <v>28</v>
      </c>
      <c r="C32" t="s" s="70">
        <v>790</v>
      </c>
      <c r="D32" t="s" s="71">
        <v>791</v>
      </c>
      <c r="E32" t="s" s="72">
        <v>43</v>
      </c>
      <c r="F32" t="s" s="113">
        <v>43</v>
      </c>
      <c r="G32" t="s" s="72">
        <v>161</v>
      </c>
      <c r="H32" t="s" s="113">
        <v>43</v>
      </c>
      <c r="I32" s="74"/>
      <c r="J32" t="s" s="113">
        <v>43</v>
      </c>
      <c r="K32" t="s" s="83">
        <v>43</v>
      </c>
      <c r="L32" t="s" s="83">
        <v>43</v>
      </c>
      <c r="M32" s="79">
        <v>10</v>
      </c>
      <c r="N32" s="79">
        <v>12</v>
      </c>
      <c r="O32" s="79">
        <v>10</v>
      </c>
      <c r="P32" s="79">
        <v>9</v>
      </c>
      <c r="Q32" s="79">
        <v>9</v>
      </c>
      <c r="R32" s="79">
        <f>O32+P32+Q32</f>
        <v>28</v>
      </c>
      <c r="S32" s="79">
        <v>10</v>
      </c>
      <c r="T32" s="76"/>
      <c r="U32" s="79">
        <v>10</v>
      </c>
      <c r="V32" s="75"/>
      <c r="W32" s="79">
        <f>V32+U32+T32+S32+R32+Q32+P32+O32+N32+M32</f>
        <v>98</v>
      </c>
      <c r="X32" s="75"/>
      <c r="Y32" s="79">
        <v>5</v>
      </c>
      <c r="Z32" s="110">
        <v>8</v>
      </c>
      <c r="AA32" s="79">
        <v>10</v>
      </c>
      <c r="AB32" s="110">
        <v>10</v>
      </c>
      <c r="AC32" s="79">
        <v>20</v>
      </c>
      <c r="AD32" s="110">
        <v>10</v>
      </c>
      <c r="AE32" s="110">
        <v>30</v>
      </c>
      <c r="AF32" s="329">
        <f>Y32+Z32+AA32+AB32+AC32+AD32+AE32</f>
        <v>93</v>
      </c>
      <c r="AG32" t="s" s="83">
        <v>792</v>
      </c>
      <c r="AH32" t="s" s="83">
        <v>793</v>
      </c>
      <c r="AI32" s="76"/>
      <c r="AJ32" s="78">
        <v>28</v>
      </c>
      <c r="AK32" s="110">
        <v>10</v>
      </c>
      <c r="AL32" s="79">
        <v>20</v>
      </c>
      <c r="AM32" s="110">
        <v>20</v>
      </c>
      <c r="AN32" s="79">
        <v>10</v>
      </c>
      <c r="AO32" s="79">
        <v>15</v>
      </c>
      <c r="AP32" s="110">
        <v>10</v>
      </c>
      <c r="AQ32" s="79">
        <v>5</v>
      </c>
      <c r="AR32" s="110">
        <v>10</v>
      </c>
      <c r="AS32" s="79">
        <f>SUM(AK32:AR32)</f>
        <v>100</v>
      </c>
      <c r="AT32" s="18"/>
      <c r="AU32" s="78">
        <v>28</v>
      </c>
      <c r="AV32" s="110">
        <f>AS32+0</f>
        <v>100</v>
      </c>
      <c r="AW32" s="75"/>
      <c r="AX32" s="18"/>
      <c r="AY32" s="110">
        <f>AF32</f>
        <v>93</v>
      </c>
      <c r="AZ32" s="75"/>
      <c r="BA32" s="18"/>
      <c r="BB32" s="110">
        <f>W32</f>
        <v>98</v>
      </c>
      <c r="BC32" s="75"/>
      <c r="BD32" s="18"/>
      <c r="BE32" s="76"/>
      <c r="BF32" s="75"/>
      <c r="BG32" s="18"/>
      <c r="BH32" s="78">
        <v>28</v>
      </c>
      <c r="BI32" s="110">
        <v>100</v>
      </c>
      <c r="BJ32" s="75"/>
      <c r="BK32" s="18"/>
      <c r="BL32" s="110">
        <f>AF32-1</f>
        <v>92</v>
      </c>
      <c r="BM32" s="75"/>
      <c r="BN32" s="18"/>
      <c r="BO32" s="110">
        <f>W32-1</f>
        <v>97</v>
      </c>
      <c r="BP32" s="75"/>
      <c r="BQ32" s="18"/>
      <c r="BR32" s="76"/>
      <c r="BS32" s="75"/>
      <c r="BT32" s="18"/>
      <c r="BU32" s="78">
        <v>28</v>
      </c>
      <c r="BV32" s="110">
        <v>100</v>
      </c>
      <c r="BW32" s="75"/>
      <c r="BX32" s="18"/>
      <c r="BY32" s="110">
        <f>AF32+2</f>
        <v>95</v>
      </c>
      <c r="BZ32" s="75"/>
      <c r="CA32" s="18"/>
      <c r="CB32" s="110">
        <v>100</v>
      </c>
      <c r="CC32" s="75"/>
      <c r="CD32" s="18"/>
      <c r="CE32" s="76"/>
      <c r="CF32" s="75"/>
      <c r="CG32" s="18"/>
      <c r="CH32" s="78">
        <v>28</v>
      </c>
      <c r="CI32" s="110">
        <f>AS32-1</f>
        <v>99</v>
      </c>
      <c r="CJ32" s="75"/>
      <c r="CK32" s="18"/>
      <c r="CL32" s="110">
        <f>AF32+1</f>
        <v>94</v>
      </c>
      <c r="CM32" s="75"/>
      <c r="CN32" s="18"/>
      <c r="CO32" s="110">
        <f>W32+1</f>
        <v>99</v>
      </c>
      <c r="CP32" s="75"/>
      <c r="CQ32" s="18"/>
      <c r="CR32" s="76"/>
      <c r="CS32" s="75"/>
      <c r="CT32" s="18"/>
      <c r="CU32" s="78">
        <v>28</v>
      </c>
      <c r="CV32" s="79">
        <f>(AV32+AY32+BB32+BE32)/4</f>
        <v>72.75</v>
      </c>
      <c r="CW32" s="79">
        <f>(BI32+BL32+BO32+BR32)/4</f>
        <v>72.25</v>
      </c>
      <c r="CX32" s="79">
        <f>(BV32+BY32+CB32+CE32)/4</f>
        <v>73.75</v>
      </c>
      <c r="CY32" s="79">
        <f>(CI32+CL32+CO32+CR32)/4</f>
        <v>73</v>
      </c>
      <c r="CZ32" s="18"/>
      <c r="DA32" s="80">
        <f>SUM(CV32:CY32)/4</f>
        <v>72.9375</v>
      </c>
      <c r="DB32" s="18"/>
      <c r="DC32" s="79">
        <f>DA32*0.5</f>
        <v>36.46875</v>
      </c>
      <c r="DD32" s="75"/>
      <c r="DE32" s="79">
        <f>DD32*0.5</f>
        <v>0</v>
      </c>
      <c r="DF32" s="81">
        <f>DE32+DC32</f>
        <v>36.46875</v>
      </c>
      <c r="DG32" s="18"/>
      <c r="DH32" s="79">
        <f>DA32*0.3</f>
        <v>21.88125</v>
      </c>
      <c r="DI32" s="75"/>
      <c r="DJ32" s="79">
        <f>DI32*0.7</f>
        <v>0</v>
      </c>
      <c r="DK32" s="81">
        <f>DJ32+DH32</f>
        <v>21.88125</v>
      </c>
    </row>
    <row r="33" ht="16.5" customHeight="1">
      <c r="A33" s="105"/>
      <c r="B33" s="106">
        <v>29</v>
      </c>
      <c r="C33" t="s" s="70">
        <v>464</v>
      </c>
      <c r="D33" t="s" s="71">
        <v>794</v>
      </c>
      <c r="E33" t="s" s="72">
        <v>43</v>
      </c>
      <c r="F33" t="s" s="113">
        <v>43</v>
      </c>
      <c r="G33" t="s" s="72">
        <v>163</v>
      </c>
      <c r="H33" t="s" s="113">
        <v>43</v>
      </c>
      <c r="I33" s="74"/>
      <c r="J33" t="s" s="113">
        <v>43</v>
      </c>
      <c r="K33" t="s" s="83">
        <v>161</v>
      </c>
      <c r="L33" t="s" s="83">
        <v>43</v>
      </c>
      <c r="M33" s="79">
        <v>8</v>
      </c>
      <c r="N33" s="79">
        <v>19</v>
      </c>
      <c r="O33" s="79">
        <v>9</v>
      </c>
      <c r="P33" s="79">
        <v>8</v>
      </c>
      <c r="Q33" s="79">
        <v>10</v>
      </c>
      <c r="R33" s="79">
        <f>O33+P33+Q33</f>
        <v>27</v>
      </c>
      <c r="S33" s="79">
        <v>10</v>
      </c>
      <c r="T33" s="76"/>
      <c r="U33" s="79">
        <v>10</v>
      </c>
      <c r="V33" s="75"/>
      <c r="W33" s="79">
        <f>V33+U33+T33+S33+R33+Q33+P33+O33+N33+M33</f>
        <v>101</v>
      </c>
      <c r="X33" s="75"/>
      <c r="Y33" s="79">
        <v>5</v>
      </c>
      <c r="Z33" s="110">
        <v>10</v>
      </c>
      <c r="AA33" s="79">
        <v>10</v>
      </c>
      <c r="AB33" s="110">
        <v>10</v>
      </c>
      <c r="AC33" s="79">
        <v>20</v>
      </c>
      <c r="AD33" s="110">
        <v>10</v>
      </c>
      <c r="AE33" s="110">
        <v>30</v>
      </c>
      <c r="AF33" s="329">
        <f>Y33+Z33+AA33+AB33+AC33+AD33+AE33</f>
        <v>95</v>
      </c>
      <c r="AG33" t="s" s="83">
        <v>792</v>
      </c>
      <c r="AH33" t="s" s="83">
        <v>795</v>
      </c>
      <c r="AI33" s="76"/>
      <c r="AJ33" s="78">
        <v>29</v>
      </c>
      <c r="AK33" s="110">
        <v>10</v>
      </c>
      <c r="AL33" s="79">
        <v>20</v>
      </c>
      <c r="AM33" s="110">
        <v>20</v>
      </c>
      <c r="AN33" s="79">
        <v>10</v>
      </c>
      <c r="AO33" s="79">
        <v>15</v>
      </c>
      <c r="AP33" s="110">
        <v>10</v>
      </c>
      <c r="AQ33" s="79">
        <v>5</v>
      </c>
      <c r="AR33" s="110">
        <v>10</v>
      </c>
      <c r="AS33" s="79">
        <f>SUM(AK33:AR33)</f>
        <v>100</v>
      </c>
      <c r="AT33" s="18"/>
      <c r="AU33" s="78">
        <v>29</v>
      </c>
      <c r="AV33" s="110">
        <f>AS33+0</f>
        <v>100</v>
      </c>
      <c r="AW33" s="75"/>
      <c r="AX33" s="18"/>
      <c r="AY33" s="110">
        <f>AF33</f>
        <v>95</v>
      </c>
      <c r="AZ33" s="75"/>
      <c r="BA33" s="18"/>
      <c r="BB33" s="110">
        <v>100</v>
      </c>
      <c r="BC33" s="75"/>
      <c r="BD33" s="18"/>
      <c r="BE33" s="76"/>
      <c r="BF33" s="75"/>
      <c r="BG33" s="18"/>
      <c r="BH33" s="78">
        <v>29</v>
      </c>
      <c r="BI33" s="110">
        <v>100</v>
      </c>
      <c r="BJ33" s="75"/>
      <c r="BK33" s="18"/>
      <c r="BL33" s="110">
        <f>AF33-1</f>
        <v>94</v>
      </c>
      <c r="BM33" s="75"/>
      <c r="BN33" s="18"/>
      <c r="BO33" s="110">
        <f>W33-1</f>
        <v>100</v>
      </c>
      <c r="BP33" s="75"/>
      <c r="BQ33" s="18"/>
      <c r="BR33" s="76"/>
      <c r="BS33" s="75"/>
      <c r="BT33" s="18"/>
      <c r="BU33" s="78">
        <v>29</v>
      </c>
      <c r="BV33" s="110">
        <v>100</v>
      </c>
      <c r="BW33" s="75"/>
      <c r="BX33" s="18"/>
      <c r="BY33" s="110">
        <f>AF33+2</f>
        <v>97</v>
      </c>
      <c r="BZ33" s="75"/>
      <c r="CA33" s="18"/>
      <c r="CB33" s="110">
        <v>100</v>
      </c>
      <c r="CC33" s="75"/>
      <c r="CD33" s="18"/>
      <c r="CE33" s="76"/>
      <c r="CF33" s="75"/>
      <c r="CG33" s="18"/>
      <c r="CH33" s="78">
        <v>29</v>
      </c>
      <c r="CI33" s="110">
        <f>AS33-1</f>
        <v>99</v>
      </c>
      <c r="CJ33" s="75"/>
      <c r="CK33" s="18"/>
      <c r="CL33" s="110">
        <f>AF33+1</f>
        <v>96</v>
      </c>
      <c r="CM33" s="75"/>
      <c r="CN33" s="18"/>
      <c r="CO33" s="110">
        <v>100</v>
      </c>
      <c r="CP33" s="75"/>
      <c r="CQ33" s="18"/>
      <c r="CR33" s="76"/>
      <c r="CS33" s="75"/>
      <c r="CT33" s="18"/>
      <c r="CU33" s="78">
        <v>29</v>
      </c>
      <c r="CV33" s="79">
        <f>(AV33+AY33+BB33+BE33)/4</f>
        <v>73.75</v>
      </c>
      <c r="CW33" s="79">
        <f>(BI33+BL33+BO33+BR33)/4</f>
        <v>73.5</v>
      </c>
      <c r="CX33" s="79">
        <f>(BV33+BY33+CB33+CE33)/4</f>
        <v>74.25</v>
      </c>
      <c r="CY33" s="79">
        <f>(CI33+CL33+CO33+CR33)/4</f>
        <v>73.75</v>
      </c>
      <c r="CZ33" s="18"/>
      <c r="DA33" s="80">
        <f>SUM(CV33:CY33)/4</f>
        <v>73.8125</v>
      </c>
      <c r="DB33" s="18"/>
      <c r="DC33" s="79">
        <f>DA33*0.5</f>
        <v>36.90625</v>
      </c>
      <c r="DD33" s="75"/>
      <c r="DE33" s="79">
        <f>DD33*0.5</f>
        <v>0</v>
      </c>
      <c r="DF33" s="81">
        <f>DE33+DC33</f>
        <v>36.90625</v>
      </c>
      <c r="DG33" s="18"/>
      <c r="DH33" s="79">
        <f>DA33*0.3</f>
        <v>22.14375</v>
      </c>
      <c r="DI33" s="75"/>
      <c r="DJ33" s="79">
        <f>DI33*0.7</f>
        <v>0</v>
      </c>
      <c r="DK33" s="81">
        <f>DJ33+DH33</f>
        <v>22.14375</v>
      </c>
    </row>
    <row r="34" ht="16.5" customHeight="1">
      <c r="A34" s="330"/>
      <c r="B34" s="331">
        <v>30</v>
      </c>
      <c r="C34" t="s" s="332">
        <v>796</v>
      </c>
      <c r="D34" t="s" s="333">
        <v>797</v>
      </c>
      <c r="E34" t="s" s="334">
        <v>43</v>
      </c>
      <c r="F34" t="s" s="335">
        <v>163</v>
      </c>
      <c r="G34" t="s" s="334">
        <v>43</v>
      </c>
      <c r="H34" t="s" s="335">
        <v>43</v>
      </c>
      <c r="I34" s="336"/>
      <c r="J34" t="s" s="335">
        <v>43</v>
      </c>
      <c r="K34" t="s" s="315">
        <v>43</v>
      </c>
      <c r="L34" t="s" s="315">
        <v>43</v>
      </c>
      <c r="M34" s="301">
        <v>10</v>
      </c>
      <c r="N34" s="301">
        <v>20</v>
      </c>
      <c r="O34" s="301">
        <v>10</v>
      </c>
      <c r="P34" s="301">
        <v>7</v>
      </c>
      <c r="Q34" s="301">
        <v>10</v>
      </c>
      <c r="R34" s="79">
        <f>O34+P34+Q34</f>
        <v>27</v>
      </c>
      <c r="S34" s="301">
        <v>10</v>
      </c>
      <c r="T34" s="337"/>
      <c r="U34" s="301">
        <v>10</v>
      </c>
      <c r="V34" s="337"/>
      <c r="W34" s="301">
        <f>V34+U34+T34+S34+R34+Q34+P34+O34+N34+M34</f>
        <v>104</v>
      </c>
      <c r="X34" s="337"/>
      <c r="Y34" s="301">
        <v>5</v>
      </c>
      <c r="Z34" s="301">
        <v>10</v>
      </c>
      <c r="AA34" s="301">
        <v>10</v>
      </c>
      <c r="AB34" s="301">
        <v>10</v>
      </c>
      <c r="AC34" s="301">
        <v>0</v>
      </c>
      <c r="AD34" s="301">
        <v>10</v>
      </c>
      <c r="AE34" s="301">
        <v>30</v>
      </c>
      <c r="AF34" s="128">
        <f>Y34+Z34+AA34+AB34+AC34+AD34+AE34</f>
        <v>75</v>
      </c>
      <c r="AG34" s="337"/>
      <c r="AH34" t="s" s="315">
        <v>798</v>
      </c>
      <c r="AI34" s="337"/>
      <c r="AJ34" s="338">
        <v>30</v>
      </c>
      <c r="AK34" s="301">
        <v>10</v>
      </c>
      <c r="AL34" s="301">
        <v>18</v>
      </c>
      <c r="AM34" s="301">
        <v>20</v>
      </c>
      <c r="AN34" s="301">
        <v>7</v>
      </c>
      <c r="AO34" s="301">
        <v>14</v>
      </c>
      <c r="AP34" s="301">
        <v>9</v>
      </c>
      <c r="AQ34" s="301">
        <v>7</v>
      </c>
      <c r="AR34" s="301">
        <v>10</v>
      </c>
      <c r="AS34" s="301">
        <f>SUM(AK34:AR34)</f>
        <v>95</v>
      </c>
      <c r="AT34" s="339"/>
      <c r="AU34" s="338">
        <v>30</v>
      </c>
      <c r="AV34" s="301">
        <f>AS34+0</f>
        <v>95</v>
      </c>
      <c r="AW34" s="337"/>
      <c r="AX34" s="339"/>
      <c r="AY34" s="301">
        <f>AF34</f>
        <v>75</v>
      </c>
      <c r="AZ34" s="301">
        <v>90</v>
      </c>
      <c r="BA34" s="339"/>
      <c r="BB34" s="110">
        <v>100</v>
      </c>
      <c r="BC34" s="337"/>
      <c r="BD34" s="339"/>
      <c r="BE34" s="337"/>
      <c r="BF34" s="337"/>
      <c r="BG34" s="339"/>
      <c r="BH34" s="338">
        <v>30</v>
      </c>
      <c r="BI34" s="301">
        <f>AS34-1</f>
        <v>94</v>
      </c>
      <c r="BJ34" s="337"/>
      <c r="BK34" s="339"/>
      <c r="BL34" s="301">
        <f>AF34-1</f>
        <v>74</v>
      </c>
      <c r="BM34" s="301">
        <v>90</v>
      </c>
      <c r="BN34" s="339"/>
      <c r="BO34" s="110">
        <v>100</v>
      </c>
      <c r="BP34" s="337"/>
      <c r="BQ34" s="339"/>
      <c r="BR34" s="337"/>
      <c r="BS34" s="337"/>
      <c r="BT34" s="339"/>
      <c r="BU34" s="338">
        <v>30</v>
      </c>
      <c r="BV34" s="301">
        <f>AS34+2</f>
        <v>97</v>
      </c>
      <c r="BW34" s="337"/>
      <c r="BX34" s="339"/>
      <c r="BY34" s="301">
        <f>AF34+2</f>
        <v>77</v>
      </c>
      <c r="BZ34" s="301">
        <v>90</v>
      </c>
      <c r="CA34" s="339"/>
      <c r="CB34" s="110">
        <v>100</v>
      </c>
      <c r="CC34" s="337"/>
      <c r="CD34" s="339"/>
      <c r="CE34" s="337"/>
      <c r="CF34" s="337"/>
      <c r="CG34" s="339"/>
      <c r="CH34" s="338">
        <v>30</v>
      </c>
      <c r="CI34" s="301">
        <f>AS34-1</f>
        <v>94</v>
      </c>
      <c r="CJ34" s="337"/>
      <c r="CK34" s="339"/>
      <c r="CL34" s="301">
        <f>AF34+1</f>
        <v>76</v>
      </c>
      <c r="CM34" s="301">
        <v>90</v>
      </c>
      <c r="CN34" s="339"/>
      <c r="CO34" s="110">
        <v>100</v>
      </c>
      <c r="CP34" s="337"/>
      <c r="CQ34" s="339"/>
      <c r="CR34" s="337"/>
      <c r="CS34" s="337"/>
      <c r="CT34" s="339"/>
      <c r="CU34" s="338">
        <v>30</v>
      </c>
      <c r="CV34" s="301">
        <f>(AV34+AY34+BB34+BE34)/4</f>
        <v>67.5</v>
      </c>
      <c r="CW34" s="301">
        <f>(BI34+BL34+BO34+BR34)/4</f>
        <v>67</v>
      </c>
      <c r="CX34" s="301">
        <f>(BV34+BY34+CB34+CE34)/4</f>
        <v>68.5</v>
      </c>
      <c r="CY34" s="301">
        <f>(CI34+CL34+CO34+CR34)/4</f>
        <v>67.5</v>
      </c>
      <c r="CZ34" s="339"/>
      <c r="DA34" s="340">
        <f>SUM(CV34:CY34)/4</f>
        <v>67.625</v>
      </c>
      <c r="DB34" s="339"/>
      <c r="DC34" s="301">
        <f>DA34*0.5</f>
        <v>33.8125</v>
      </c>
      <c r="DD34" s="337"/>
      <c r="DE34" s="301">
        <f>DD34*0.5</f>
        <v>0</v>
      </c>
      <c r="DF34" s="340">
        <f>DE34+DC34</f>
        <v>33.8125</v>
      </c>
      <c r="DG34" s="339"/>
      <c r="DH34" s="301">
        <f>DA34*0.3</f>
        <v>20.2875</v>
      </c>
      <c r="DI34" s="337"/>
      <c r="DJ34" s="301">
        <f>DI34*0.7</f>
        <v>0</v>
      </c>
      <c r="DK34" s="340">
        <f>DJ34+DH34</f>
        <v>20.2875</v>
      </c>
    </row>
    <row r="35" ht="16.5" customHeight="1">
      <c r="A35" s="105"/>
      <c r="B35" s="106">
        <v>31</v>
      </c>
      <c r="C35" t="s" s="70">
        <v>799</v>
      </c>
      <c r="D35" t="s" s="71">
        <v>800</v>
      </c>
      <c r="E35" t="s" s="72">
        <v>43</v>
      </c>
      <c r="F35" t="s" s="113">
        <v>43</v>
      </c>
      <c r="G35" t="s" s="72">
        <v>43</v>
      </c>
      <c r="H35" t="s" s="113">
        <v>43</v>
      </c>
      <c r="I35" s="74"/>
      <c r="J35" t="s" s="113">
        <v>43</v>
      </c>
      <c r="K35" t="s" s="83">
        <v>43</v>
      </c>
      <c r="L35" t="s" s="83">
        <v>43</v>
      </c>
      <c r="M35" s="79">
        <v>10</v>
      </c>
      <c r="N35" s="79">
        <v>20</v>
      </c>
      <c r="O35" s="79">
        <v>9</v>
      </c>
      <c r="P35" s="79">
        <v>8</v>
      </c>
      <c r="Q35" s="79">
        <v>7</v>
      </c>
      <c r="R35" s="79">
        <f>O35+P35+Q35</f>
        <v>24</v>
      </c>
      <c r="S35" s="79">
        <v>10</v>
      </c>
      <c r="T35" s="76"/>
      <c r="U35" s="79">
        <v>10</v>
      </c>
      <c r="V35" s="75"/>
      <c r="W35" s="79">
        <f>V35+U35+T35+S35+R35+Q35+P35+O35+N35+M35</f>
        <v>98</v>
      </c>
      <c r="X35" s="75"/>
      <c r="Y35" s="79">
        <v>10</v>
      </c>
      <c r="Z35" s="110">
        <v>10</v>
      </c>
      <c r="AA35" s="79">
        <v>10</v>
      </c>
      <c r="AB35" s="110">
        <v>10</v>
      </c>
      <c r="AC35" s="79">
        <v>20</v>
      </c>
      <c r="AD35" s="110">
        <v>10</v>
      </c>
      <c r="AE35" s="110">
        <v>30</v>
      </c>
      <c r="AF35" s="111">
        <f>Y35+Z35+AA35+AB35+AC35+AD35+AE35</f>
        <v>100</v>
      </c>
      <c r="AG35" s="75"/>
      <c r="AH35" t="s" s="83">
        <v>801</v>
      </c>
      <c r="AI35" s="76"/>
      <c r="AJ35" s="78">
        <v>31</v>
      </c>
      <c r="AK35" s="110">
        <v>10</v>
      </c>
      <c r="AL35" s="79">
        <v>20</v>
      </c>
      <c r="AM35" s="110">
        <v>20</v>
      </c>
      <c r="AN35" s="79">
        <v>10</v>
      </c>
      <c r="AO35" s="79">
        <v>15</v>
      </c>
      <c r="AP35" s="110">
        <v>10</v>
      </c>
      <c r="AQ35" s="79">
        <v>7</v>
      </c>
      <c r="AR35" s="110">
        <v>10</v>
      </c>
      <c r="AS35" s="79">
        <v>100</v>
      </c>
      <c r="AT35" s="18"/>
      <c r="AU35" s="78">
        <v>31</v>
      </c>
      <c r="AV35" s="110">
        <v>100</v>
      </c>
      <c r="AW35" s="75"/>
      <c r="AX35" s="18"/>
      <c r="AY35" s="110">
        <f>AF35</f>
        <v>100</v>
      </c>
      <c r="AZ35" s="75"/>
      <c r="BA35" s="18"/>
      <c r="BB35" s="110">
        <f>W35</f>
        <v>98</v>
      </c>
      <c r="BC35" s="75"/>
      <c r="BD35" s="18"/>
      <c r="BE35" s="76"/>
      <c r="BF35" s="75"/>
      <c r="BG35" s="18"/>
      <c r="BH35" s="78">
        <v>31</v>
      </c>
      <c r="BI35" s="110">
        <v>100</v>
      </c>
      <c r="BJ35" s="75"/>
      <c r="BK35" s="18"/>
      <c r="BL35" s="110">
        <f>AF35-1</f>
        <v>99</v>
      </c>
      <c r="BM35" s="75"/>
      <c r="BN35" s="18"/>
      <c r="BO35" s="110">
        <f>W35-1</f>
        <v>97</v>
      </c>
      <c r="BP35" s="75"/>
      <c r="BQ35" s="18"/>
      <c r="BR35" s="76"/>
      <c r="BS35" s="75"/>
      <c r="BT35" s="18"/>
      <c r="BU35" s="78">
        <v>31</v>
      </c>
      <c r="BV35" s="110">
        <v>100</v>
      </c>
      <c r="BW35" s="75"/>
      <c r="BX35" s="18"/>
      <c r="BY35" s="110">
        <v>100</v>
      </c>
      <c r="BZ35" s="75"/>
      <c r="CA35" s="18"/>
      <c r="CB35" s="110">
        <f>W35+2</f>
        <v>100</v>
      </c>
      <c r="CC35" s="75"/>
      <c r="CD35" s="18"/>
      <c r="CE35" s="76"/>
      <c r="CF35" s="75"/>
      <c r="CG35" s="18"/>
      <c r="CH35" s="78">
        <v>31</v>
      </c>
      <c r="CI35" s="110">
        <v>100</v>
      </c>
      <c r="CJ35" s="75"/>
      <c r="CK35" s="18"/>
      <c r="CL35" s="110">
        <v>100</v>
      </c>
      <c r="CM35" s="75"/>
      <c r="CN35" s="18"/>
      <c r="CO35" s="110">
        <f>W35+1</f>
        <v>99</v>
      </c>
      <c r="CP35" s="75"/>
      <c r="CQ35" s="18"/>
      <c r="CR35" s="76"/>
      <c r="CS35" s="75"/>
      <c r="CT35" s="18"/>
      <c r="CU35" s="78">
        <v>31</v>
      </c>
      <c r="CV35" s="79">
        <f>(AV35+AY35+BB35+BE35)/4</f>
        <v>74.5</v>
      </c>
      <c r="CW35" s="79">
        <f>(BI35+BL35+BO35+BR35)/4</f>
        <v>74</v>
      </c>
      <c r="CX35" s="79">
        <f>(BV35+BY35+CB35+CE35)/4</f>
        <v>75</v>
      </c>
      <c r="CY35" s="79">
        <f>(CI35+CL35+CO35+CR35)/4</f>
        <v>74.75</v>
      </c>
      <c r="CZ35" s="18"/>
      <c r="DA35" s="80">
        <f>SUM(CV35:CY35)/4</f>
        <v>74.5625</v>
      </c>
      <c r="DB35" s="18"/>
      <c r="DC35" s="79">
        <f>DA35*0.5</f>
        <v>37.28125</v>
      </c>
      <c r="DD35" s="75"/>
      <c r="DE35" s="79">
        <f>DD35*0.5</f>
        <v>0</v>
      </c>
      <c r="DF35" s="81">
        <f>DE35+DC35</f>
        <v>37.28125</v>
      </c>
      <c r="DG35" s="18"/>
      <c r="DH35" s="79">
        <f>DA35*0.3</f>
        <v>22.36875</v>
      </c>
      <c r="DI35" s="75"/>
      <c r="DJ35" s="79">
        <f>DI35*0.7</f>
        <v>0</v>
      </c>
      <c r="DK35" s="81">
        <f>DJ35+DH35</f>
        <v>22.36875</v>
      </c>
    </row>
    <row r="36" ht="16.5" customHeight="1">
      <c r="A36" s="105"/>
      <c r="B36" s="106">
        <v>32</v>
      </c>
      <c r="C36" t="s" s="70">
        <v>802</v>
      </c>
      <c r="D36" t="s" s="71">
        <v>803</v>
      </c>
      <c r="E36" t="s" s="72">
        <v>43</v>
      </c>
      <c r="F36" t="s" s="113">
        <v>43</v>
      </c>
      <c r="G36" t="s" s="72">
        <v>163</v>
      </c>
      <c r="H36" t="s" s="113">
        <v>43</v>
      </c>
      <c r="I36" s="74"/>
      <c r="J36" t="s" s="113">
        <v>43</v>
      </c>
      <c r="K36" t="s" s="83">
        <v>43</v>
      </c>
      <c r="L36" t="s" s="83">
        <v>43</v>
      </c>
      <c r="M36" s="79">
        <v>10</v>
      </c>
      <c r="N36" s="79">
        <v>20</v>
      </c>
      <c r="O36" s="79">
        <v>9</v>
      </c>
      <c r="P36" s="79">
        <v>8</v>
      </c>
      <c r="Q36" s="79">
        <v>8.5</v>
      </c>
      <c r="R36" s="79">
        <f>O36+P36+Q36</f>
        <v>25.5</v>
      </c>
      <c r="S36" s="79">
        <v>9</v>
      </c>
      <c r="T36" s="76"/>
      <c r="U36" s="79">
        <v>8</v>
      </c>
      <c r="V36" s="75"/>
      <c r="W36" s="79">
        <f>V36+U36+T36+S36+R36+Q36+P36+O36+N36+M36</f>
        <v>98</v>
      </c>
      <c r="X36" s="75"/>
      <c r="Y36" s="79">
        <v>5</v>
      </c>
      <c r="Z36" s="110">
        <v>10</v>
      </c>
      <c r="AA36" s="79">
        <v>9</v>
      </c>
      <c r="AB36" s="110">
        <v>10</v>
      </c>
      <c r="AC36" s="79">
        <v>20</v>
      </c>
      <c r="AD36" s="110">
        <v>10</v>
      </c>
      <c r="AE36" s="110">
        <v>30</v>
      </c>
      <c r="AF36" s="111">
        <f>Y36+Z36+AA36+AB36+AC36+AD36+AE36</f>
        <v>94</v>
      </c>
      <c r="AG36" s="75"/>
      <c r="AH36" t="s" s="83">
        <v>804</v>
      </c>
      <c r="AI36" s="76"/>
      <c r="AJ36" s="78">
        <v>32</v>
      </c>
      <c r="AK36" s="110">
        <v>10</v>
      </c>
      <c r="AL36" s="79">
        <v>20</v>
      </c>
      <c r="AM36" s="110">
        <v>20</v>
      </c>
      <c r="AN36" s="79">
        <v>10</v>
      </c>
      <c r="AO36" s="79">
        <v>15</v>
      </c>
      <c r="AP36" s="110">
        <v>9</v>
      </c>
      <c r="AQ36" s="79">
        <v>6</v>
      </c>
      <c r="AR36" s="110">
        <v>10</v>
      </c>
      <c r="AS36" s="79">
        <f>SUM(AK36:AR36)</f>
        <v>100</v>
      </c>
      <c r="AT36" s="18"/>
      <c r="AU36" s="78">
        <v>32</v>
      </c>
      <c r="AV36" s="110">
        <f>AS36+0</f>
        <v>100</v>
      </c>
      <c r="AW36" s="75"/>
      <c r="AX36" s="18"/>
      <c r="AY36" s="110">
        <f>AF36</f>
        <v>94</v>
      </c>
      <c r="AZ36" s="75"/>
      <c r="BA36" s="18"/>
      <c r="BB36" s="110">
        <f>W36</f>
        <v>98</v>
      </c>
      <c r="BC36" s="75"/>
      <c r="BD36" s="18"/>
      <c r="BE36" s="76"/>
      <c r="BF36" s="75"/>
      <c r="BG36" s="18"/>
      <c r="BH36" s="78">
        <v>32</v>
      </c>
      <c r="BI36" s="110">
        <v>100</v>
      </c>
      <c r="BJ36" s="75"/>
      <c r="BK36" s="18"/>
      <c r="BL36" s="110">
        <f>AF36-1</f>
        <v>93</v>
      </c>
      <c r="BM36" s="75"/>
      <c r="BN36" s="18"/>
      <c r="BO36" s="110">
        <f>W36-1</f>
        <v>97</v>
      </c>
      <c r="BP36" s="75"/>
      <c r="BQ36" s="18"/>
      <c r="BR36" s="76"/>
      <c r="BS36" s="75"/>
      <c r="BT36" s="18"/>
      <c r="BU36" s="78">
        <v>32</v>
      </c>
      <c r="BV36" s="110">
        <v>100</v>
      </c>
      <c r="BW36" s="75"/>
      <c r="BX36" s="18"/>
      <c r="BY36" s="110">
        <f>AF36+2</f>
        <v>96</v>
      </c>
      <c r="BZ36" s="75"/>
      <c r="CA36" s="18"/>
      <c r="CB36" s="110">
        <f>W36+2</f>
        <v>100</v>
      </c>
      <c r="CC36" s="75"/>
      <c r="CD36" s="18"/>
      <c r="CE36" s="76"/>
      <c r="CF36" s="75"/>
      <c r="CG36" s="18"/>
      <c r="CH36" s="78">
        <v>32</v>
      </c>
      <c r="CI36" s="110">
        <f>AS36-1</f>
        <v>99</v>
      </c>
      <c r="CJ36" s="75"/>
      <c r="CK36" s="18"/>
      <c r="CL36" s="110">
        <f>AF36+1</f>
        <v>95</v>
      </c>
      <c r="CM36" s="75"/>
      <c r="CN36" s="18"/>
      <c r="CO36" s="110">
        <f>W36+1</f>
        <v>99</v>
      </c>
      <c r="CP36" s="75"/>
      <c r="CQ36" s="18"/>
      <c r="CR36" s="76"/>
      <c r="CS36" s="75"/>
      <c r="CT36" s="18"/>
      <c r="CU36" s="78">
        <v>32</v>
      </c>
      <c r="CV36" s="79">
        <f>(AV36+AY36+BB36+BE36)/4</f>
        <v>73</v>
      </c>
      <c r="CW36" s="79">
        <f>(BI36+BL36+BO36+BR36)/4</f>
        <v>72.5</v>
      </c>
      <c r="CX36" s="79">
        <f>(BV36+BY36+CB36+CE36)/4</f>
        <v>74</v>
      </c>
      <c r="CY36" s="79">
        <f>(CI36+CL36+CO36+CR36)/4</f>
        <v>73.25</v>
      </c>
      <c r="CZ36" s="18"/>
      <c r="DA36" s="80">
        <f>SUM(CV36:CY36)/4</f>
        <v>73.1875</v>
      </c>
      <c r="DB36" s="18"/>
      <c r="DC36" s="79">
        <f>DA36*0.5</f>
        <v>36.59375</v>
      </c>
      <c r="DD36" s="75"/>
      <c r="DE36" s="79">
        <f>DD36*0.5</f>
        <v>0</v>
      </c>
      <c r="DF36" s="81">
        <f>DE36+DC36</f>
        <v>36.59375</v>
      </c>
      <c r="DG36" s="18"/>
      <c r="DH36" s="79">
        <f>DA36*0.3</f>
        <v>21.95625</v>
      </c>
      <c r="DI36" s="75"/>
      <c r="DJ36" s="79">
        <f>DI36*0.7</f>
        <v>0</v>
      </c>
      <c r="DK36" s="81">
        <f>DJ36+DH36</f>
        <v>21.95625</v>
      </c>
    </row>
    <row r="37" ht="16.5" customHeight="1">
      <c r="A37" s="105"/>
      <c r="B37" s="106">
        <v>33</v>
      </c>
      <c r="C37" t="s" s="70">
        <v>242</v>
      </c>
      <c r="D37" t="s" s="71">
        <v>805</v>
      </c>
      <c r="E37" t="s" s="72">
        <v>43</v>
      </c>
      <c r="F37" t="s" s="113">
        <v>43</v>
      </c>
      <c r="G37" t="s" s="72">
        <v>43</v>
      </c>
      <c r="H37" t="s" s="113">
        <v>43</v>
      </c>
      <c r="I37" s="74"/>
      <c r="J37" t="s" s="113">
        <v>43</v>
      </c>
      <c r="K37" t="s" s="83">
        <v>43</v>
      </c>
      <c r="L37" t="s" s="83">
        <v>43</v>
      </c>
      <c r="M37" s="79">
        <v>10</v>
      </c>
      <c r="N37" s="79">
        <v>20</v>
      </c>
      <c r="O37" s="79">
        <v>8</v>
      </c>
      <c r="P37" s="79">
        <v>8</v>
      </c>
      <c r="Q37" s="79">
        <v>8</v>
      </c>
      <c r="R37" s="79">
        <f>O37+P37+Q37</f>
        <v>24</v>
      </c>
      <c r="S37" s="79">
        <v>9</v>
      </c>
      <c r="T37" s="76"/>
      <c r="U37" s="79">
        <v>10</v>
      </c>
      <c r="V37" s="75"/>
      <c r="W37" s="79">
        <f>V37+U37+T37+S37+R37+Q37+P37+O37+N37+M37</f>
        <v>97</v>
      </c>
      <c r="X37" s="75"/>
      <c r="Y37" s="79">
        <v>5</v>
      </c>
      <c r="Z37" s="110">
        <v>10</v>
      </c>
      <c r="AA37" s="79">
        <v>9</v>
      </c>
      <c r="AB37" s="110">
        <v>10</v>
      </c>
      <c r="AC37" s="79">
        <v>20</v>
      </c>
      <c r="AD37" s="110">
        <v>10</v>
      </c>
      <c r="AE37" s="110">
        <v>30</v>
      </c>
      <c r="AF37" s="111">
        <f>Y37+Z37+AA37+AB37+AC37+AD37+AE37</f>
        <v>94</v>
      </c>
      <c r="AG37" s="75"/>
      <c r="AH37" t="s" s="83">
        <v>806</v>
      </c>
      <c r="AI37" s="76"/>
      <c r="AJ37" s="78">
        <v>33</v>
      </c>
      <c r="AK37" s="110">
        <v>10</v>
      </c>
      <c r="AL37" s="79">
        <v>20</v>
      </c>
      <c r="AM37" s="110">
        <v>20</v>
      </c>
      <c r="AN37" s="79">
        <v>10</v>
      </c>
      <c r="AO37" s="79">
        <v>8</v>
      </c>
      <c r="AP37" s="110">
        <v>10</v>
      </c>
      <c r="AQ37" s="79">
        <v>7</v>
      </c>
      <c r="AR37" s="110">
        <v>10</v>
      </c>
      <c r="AS37" s="79">
        <f>SUM(AK37:AR37)</f>
        <v>95</v>
      </c>
      <c r="AT37" s="18"/>
      <c r="AU37" s="78">
        <v>33</v>
      </c>
      <c r="AV37" s="110">
        <f>AS37+0</f>
        <v>95</v>
      </c>
      <c r="AW37" s="75"/>
      <c r="AX37" s="18"/>
      <c r="AY37" s="110">
        <f>AF37</f>
        <v>94</v>
      </c>
      <c r="AZ37" s="75"/>
      <c r="BA37" s="18"/>
      <c r="BB37" s="110">
        <f>W37</f>
        <v>97</v>
      </c>
      <c r="BC37" s="75"/>
      <c r="BD37" s="18"/>
      <c r="BE37" s="76"/>
      <c r="BF37" s="75"/>
      <c r="BG37" s="18"/>
      <c r="BH37" s="78">
        <v>33</v>
      </c>
      <c r="BI37" s="110">
        <f>AS37-1</f>
        <v>94</v>
      </c>
      <c r="BJ37" s="75"/>
      <c r="BK37" s="18"/>
      <c r="BL37" s="110">
        <f>AF37-1</f>
        <v>93</v>
      </c>
      <c r="BM37" s="75"/>
      <c r="BN37" s="18"/>
      <c r="BO37" s="110">
        <f>W37-1</f>
        <v>96</v>
      </c>
      <c r="BP37" s="75"/>
      <c r="BQ37" s="18"/>
      <c r="BR37" s="76"/>
      <c r="BS37" s="75"/>
      <c r="BT37" s="18"/>
      <c r="BU37" s="78">
        <v>33</v>
      </c>
      <c r="BV37" s="110">
        <f>AS37+2</f>
        <v>97</v>
      </c>
      <c r="BW37" s="75"/>
      <c r="BX37" s="18"/>
      <c r="BY37" s="110">
        <f>AF37+2</f>
        <v>96</v>
      </c>
      <c r="BZ37" s="75"/>
      <c r="CA37" s="18"/>
      <c r="CB37" s="110">
        <f>W37+2</f>
        <v>99</v>
      </c>
      <c r="CC37" s="75"/>
      <c r="CD37" s="18"/>
      <c r="CE37" s="76"/>
      <c r="CF37" s="75"/>
      <c r="CG37" s="18"/>
      <c r="CH37" s="78">
        <v>33</v>
      </c>
      <c r="CI37" s="110">
        <f>AS37-1</f>
        <v>94</v>
      </c>
      <c r="CJ37" s="75"/>
      <c r="CK37" s="18"/>
      <c r="CL37" s="110">
        <f>AF37+1</f>
        <v>95</v>
      </c>
      <c r="CM37" s="75"/>
      <c r="CN37" s="18"/>
      <c r="CO37" s="110">
        <f>W37+1</f>
        <v>98</v>
      </c>
      <c r="CP37" s="75"/>
      <c r="CQ37" s="18"/>
      <c r="CR37" s="76"/>
      <c r="CS37" s="75"/>
      <c r="CT37" s="18"/>
      <c r="CU37" s="78">
        <v>33</v>
      </c>
      <c r="CV37" s="79">
        <f>(AV37+AY37+BB37+BE37)/4</f>
        <v>71.5</v>
      </c>
      <c r="CW37" s="79">
        <f>(BI37+BL37+BO37+BR37)/4</f>
        <v>70.75</v>
      </c>
      <c r="CX37" s="79">
        <f>(BV37+BY37+CB37+CE37)/4</f>
        <v>73</v>
      </c>
      <c r="CY37" s="79">
        <f>(CI37+CL37+CO37+CR37)/4</f>
        <v>71.75</v>
      </c>
      <c r="CZ37" s="18"/>
      <c r="DA37" s="80">
        <f>SUM(CV37:CY37)/4</f>
        <v>71.75</v>
      </c>
      <c r="DB37" s="18"/>
      <c r="DC37" s="79">
        <f>DA37*0.5</f>
        <v>35.875</v>
      </c>
      <c r="DD37" s="75"/>
      <c r="DE37" s="79">
        <f>DD37*0.5</f>
        <v>0</v>
      </c>
      <c r="DF37" s="81">
        <f>DE37+DC37</f>
        <v>35.875</v>
      </c>
      <c r="DG37" s="18"/>
      <c r="DH37" s="79">
        <f>DA37*0.3</f>
        <v>21.525</v>
      </c>
      <c r="DI37" s="75"/>
      <c r="DJ37" s="79">
        <f>DI37*0.7</f>
        <v>0</v>
      </c>
      <c r="DK37" s="81">
        <f>DJ37+DH37</f>
        <v>21.525</v>
      </c>
    </row>
    <row r="38" ht="16.5" customHeight="1">
      <c r="A38" s="105"/>
      <c r="B38" s="106">
        <v>34</v>
      </c>
      <c r="C38" t="s" s="70">
        <v>807</v>
      </c>
      <c r="D38" t="s" s="71">
        <v>808</v>
      </c>
      <c r="E38" t="s" s="72">
        <v>43</v>
      </c>
      <c r="F38" t="s" s="113">
        <v>43</v>
      </c>
      <c r="G38" t="s" s="72">
        <v>161</v>
      </c>
      <c r="H38" t="s" s="113">
        <v>43</v>
      </c>
      <c r="I38" s="74"/>
      <c r="J38" t="s" s="113">
        <v>43</v>
      </c>
      <c r="K38" t="s" s="83">
        <v>43</v>
      </c>
      <c r="L38" t="s" s="83">
        <v>43</v>
      </c>
      <c r="M38" s="79">
        <v>10</v>
      </c>
      <c r="N38" s="79">
        <v>5</v>
      </c>
      <c r="O38" s="79">
        <v>10</v>
      </c>
      <c r="P38" s="79">
        <v>7</v>
      </c>
      <c r="Q38" s="79">
        <v>9</v>
      </c>
      <c r="R38" s="79">
        <f>O38+P38+Q38</f>
        <v>26</v>
      </c>
      <c r="S38" s="79">
        <v>10</v>
      </c>
      <c r="T38" s="76"/>
      <c r="U38" s="79">
        <v>10</v>
      </c>
      <c r="V38" s="75"/>
      <c r="W38" s="79">
        <f>V38+U38+T38+S38+R38+Q38+P38+O38+N38+M38</f>
        <v>87</v>
      </c>
      <c r="X38" s="75"/>
      <c r="Y38" s="79">
        <v>5</v>
      </c>
      <c r="Z38" s="110">
        <v>8</v>
      </c>
      <c r="AA38" s="79">
        <v>10</v>
      </c>
      <c r="AB38" s="110">
        <v>10</v>
      </c>
      <c r="AC38" s="79">
        <v>16</v>
      </c>
      <c r="AD38" s="110">
        <v>10</v>
      </c>
      <c r="AE38" s="110">
        <v>30</v>
      </c>
      <c r="AF38" s="111">
        <f>Y38+Z38+AA38+AB38+AC38+AD38+AE38</f>
        <v>89</v>
      </c>
      <c r="AG38" s="75"/>
      <c r="AH38" t="s" s="83">
        <v>809</v>
      </c>
      <c r="AI38" s="76"/>
      <c r="AJ38" s="78">
        <v>34</v>
      </c>
      <c r="AK38" s="110">
        <v>10</v>
      </c>
      <c r="AL38" s="79">
        <v>20</v>
      </c>
      <c r="AM38" s="110">
        <v>20</v>
      </c>
      <c r="AN38" s="79">
        <v>10</v>
      </c>
      <c r="AO38" s="79">
        <v>10</v>
      </c>
      <c r="AP38" s="110">
        <v>9</v>
      </c>
      <c r="AQ38" s="79">
        <v>7</v>
      </c>
      <c r="AR38" s="110">
        <v>10</v>
      </c>
      <c r="AS38" s="79">
        <f>SUM(AK38:AR38)</f>
        <v>96</v>
      </c>
      <c r="AT38" s="18"/>
      <c r="AU38" s="78">
        <v>34</v>
      </c>
      <c r="AV38" s="110">
        <f>AS38+0</f>
        <v>96</v>
      </c>
      <c r="AW38" s="75"/>
      <c r="AX38" s="18"/>
      <c r="AY38" s="110">
        <f>AF38</f>
        <v>89</v>
      </c>
      <c r="AZ38" s="75"/>
      <c r="BA38" s="18"/>
      <c r="BB38" s="110">
        <f>W38</f>
        <v>87</v>
      </c>
      <c r="BC38" s="75"/>
      <c r="BD38" s="18"/>
      <c r="BE38" s="76"/>
      <c r="BF38" s="75"/>
      <c r="BG38" s="18"/>
      <c r="BH38" s="78">
        <v>34</v>
      </c>
      <c r="BI38" s="110">
        <f>AS38-1</f>
        <v>95</v>
      </c>
      <c r="BJ38" s="75"/>
      <c r="BK38" s="18"/>
      <c r="BL38" s="110">
        <f>AF38-1</f>
        <v>88</v>
      </c>
      <c r="BM38" s="75"/>
      <c r="BN38" s="18"/>
      <c r="BO38" s="110">
        <f>W38-1</f>
        <v>86</v>
      </c>
      <c r="BP38" s="75"/>
      <c r="BQ38" s="18"/>
      <c r="BR38" s="76"/>
      <c r="BS38" s="75"/>
      <c r="BT38" s="18"/>
      <c r="BU38" s="78">
        <v>34</v>
      </c>
      <c r="BV38" s="110">
        <f>AS38+2</f>
        <v>98</v>
      </c>
      <c r="BW38" s="75"/>
      <c r="BX38" s="18"/>
      <c r="BY38" s="110">
        <f>AF38+2</f>
        <v>91</v>
      </c>
      <c r="BZ38" s="75"/>
      <c r="CA38" s="18"/>
      <c r="CB38" s="110">
        <f>W38+2</f>
        <v>89</v>
      </c>
      <c r="CC38" s="75"/>
      <c r="CD38" s="18"/>
      <c r="CE38" s="76"/>
      <c r="CF38" s="75"/>
      <c r="CG38" s="18"/>
      <c r="CH38" s="78">
        <v>34</v>
      </c>
      <c r="CI38" s="110">
        <f>AS38-1</f>
        <v>95</v>
      </c>
      <c r="CJ38" s="75"/>
      <c r="CK38" s="18"/>
      <c r="CL38" s="110">
        <f>AF38+1</f>
        <v>90</v>
      </c>
      <c r="CM38" s="75"/>
      <c r="CN38" s="18"/>
      <c r="CO38" s="110">
        <f>W38+1</f>
        <v>88</v>
      </c>
      <c r="CP38" s="75"/>
      <c r="CQ38" s="18"/>
      <c r="CR38" s="76"/>
      <c r="CS38" s="75"/>
      <c r="CT38" s="18"/>
      <c r="CU38" s="78">
        <v>34</v>
      </c>
      <c r="CV38" s="79">
        <f>(AV38+AY38+BB38+BE38)/4</f>
        <v>68</v>
      </c>
      <c r="CW38" s="79">
        <f>(BI38+BL38+BO38+BR38)/4</f>
        <v>67.25</v>
      </c>
      <c r="CX38" s="79">
        <f>(BV38+BY38+CB38+CE38)/4</f>
        <v>69.5</v>
      </c>
      <c r="CY38" s="79">
        <f>(CI38+CL38+CO38+CR38)/4</f>
        <v>68.25</v>
      </c>
      <c r="CZ38" s="18"/>
      <c r="DA38" s="80">
        <f>SUM(CV38:CY38)/4</f>
        <v>68.25</v>
      </c>
      <c r="DB38" s="18"/>
      <c r="DC38" s="79">
        <f>DA38*0.5</f>
        <v>34.125</v>
      </c>
      <c r="DD38" s="75"/>
      <c r="DE38" s="79">
        <f>DD38*0.5</f>
        <v>0</v>
      </c>
      <c r="DF38" s="81">
        <f>DE38+DC38</f>
        <v>34.125</v>
      </c>
      <c r="DG38" s="18"/>
      <c r="DH38" s="79">
        <f>DA38*0.3</f>
        <v>20.475</v>
      </c>
      <c r="DI38" s="75"/>
      <c r="DJ38" s="79">
        <f>DI38*0.7</f>
        <v>0</v>
      </c>
      <c r="DK38" s="81">
        <f>DJ38+DH38</f>
        <v>20.475</v>
      </c>
    </row>
    <row r="39" ht="16.5" customHeight="1">
      <c r="A39" s="31">
        <v>1</v>
      </c>
      <c r="B39" s="106">
        <v>35</v>
      </c>
      <c r="C39" t="s" s="70">
        <v>810</v>
      </c>
      <c r="D39" t="s" s="71">
        <v>595</v>
      </c>
      <c r="E39" t="s" s="72">
        <v>43</v>
      </c>
      <c r="F39" t="s" s="113">
        <v>43</v>
      </c>
      <c r="G39" t="s" s="72">
        <v>161</v>
      </c>
      <c r="H39" t="s" s="113">
        <v>43</v>
      </c>
      <c r="I39" s="74"/>
      <c r="J39" t="s" s="113">
        <v>161</v>
      </c>
      <c r="K39" t="s" s="83">
        <v>43</v>
      </c>
      <c r="L39" t="s" s="83">
        <v>43</v>
      </c>
      <c r="M39" s="79">
        <v>10</v>
      </c>
      <c r="N39" s="79">
        <v>20</v>
      </c>
      <c r="O39" s="79">
        <v>8</v>
      </c>
      <c r="P39" s="79">
        <v>10</v>
      </c>
      <c r="Q39" s="79">
        <v>8</v>
      </c>
      <c r="R39" s="79">
        <f>O39+P39+Q39</f>
        <v>26</v>
      </c>
      <c r="S39" s="79">
        <v>10</v>
      </c>
      <c r="T39" s="76"/>
      <c r="U39" s="79">
        <v>10</v>
      </c>
      <c r="V39" s="75"/>
      <c r="W39" s="79">
        <f>V39+U39+T39+S39+R39+Q39+P39+O39+N39+M39</f>
        <v>102</v>
      </c>
      <c r="X39" s="75"/>
      <c r="Y39" s="79">
        <v>5</v>
      </c>
      <c r="Z39" s="110">
        <v>8</v>
      </c>
      <c r="AA39" s="79">
        <v>10</v>
      </c>
      <c r="AB39" s="110">
        <v>10</v>
      </c>
      <c r="AC39" s="79">
        <v>20</v>
      </c>
      <c r="AD39" s="110">
        <v>10</v>
      </c>
      <c r="AE39" s="110">
        <v>30</v>
      </c>
      <c r="AF39" s="111">
        <f>Y39+Z39+AA39+AB39+AC39+AD39+AE39</f>
        <v>93</v>
      </c>
      <c r="AG39" s="75"/>
      <c r="AH39" t="s" s="83">
        <v>811</v>
      </c>
      <c r="AI39" s="76"/>
      <c r="AJ39" s="78">
        <v>35</v>
      </c>
      <c r="AK39" s="110">
        <v>10</v>
      </c>
      <c r="AL39" s="79">
        <v>20</v>
      </c>
      <c r="AM39" s="110">
        <v>20</v>
      </c>
      <c r="AN39" s="79">
        <v>10</v>
      </c>
      <c r="AO39" s="79">
        <v>0</v>
      </c>
      <c r="AP39" s="110">
        <v>9</v>
      </c>
      <c r="AQ39" s="79">
        <v>7</v>
      </c>
      <c r="AR39" s="110">
        <v>10</v>
      </c>
      <c r="AS39" s="79">
        <f>SUM(AK39:AR39)</f>
        <v>86</v>
      </c>
      <c r="AT39" s="18"/>
      <c r="AU39" s="78">
        <v>35</v>
      </c>
      <c r="AV39" s="110">
        <f>AS39+0</f>
        <v>86</v>
      </c>
      <c r="AW39" s="75"/>
      <c r="AX39" s="18"/>
      <c r="AY39" s="110">
        <f>AF39</f>
        <v>93</v>
      </c>
      <c r="AZ39" s="75"/>
      <c r="BA39" s="18"/>
      <c r="BB39" s="110">
        <v>100</v>
      </c>
      <c r="BC39" s="75"/>
      <c r="BD39" s="18"/>
      <c r="BE39" s="76"/>
      <c r="BF39" s="75"/>
      <c r="BG39" s="18"/>
      <c r="BH39" s="78">
        <v>35</v>
      </c>
      <c r="BI39" s="110">
        <f>AS39-1</f>
        <v>85</v>
      </c>
      <c r="BJ39" s="75"/>
      <c r="BK39" s="18"/>
      <c r="BL39" s="110">
        <f>AF39-1</f>
        <v>92</v>
      </c>
      <c r="BM39" s="75"/>
      <c r="BN39" s="18"/>
      <c r="BO39" s="110">
        <v>100</v>
      </c>
      <c r="BP39" s="75"/>
      <c r="BQ39" s="18"/>
      <c r="BR39" s="76"/>
      <c r="BS39" s="75"/>
      <c r="BT39" s="18"/>
      <c r="BU39" s="78">
        <v>35</v>
      </c>
      <c r="BV39" s="110">
        <f>AS39+2</f>
        <v>88</v>
      </c>
      <c r="BW39" s="75"/>
      <c r="BX39" s="18"/>
      <c r="BY39" s="110">
        <f>AF39+2</f>
        <v>95</v>
      </c>
      <c r="BZ39" s="75"/>
      <c r="CA39" s="18"/>
      <c r="CB39" s="110">
        <v>100</v>
      </c>
      <c r="CC39" s="75"/>
      <c r="CD39" s="18"/>
      <c r="CE39" s="76"/>
      <c r="CF39" s="75"/>
      <c r="CG39" s="18"/>
      <c r="CH39" s="78">
        <v>35</v>
      </c>
      <c r="CI39" s="110">
        <f>AS39-1</f>
        <v>85</v>
      </c>
      <c r="CJ39" s="75"/>
      <c r="CK39" s="18"/>
      <c r="CL39" s="110">
        <f>AF39+1</f>
        <v>94</v>
      </c>
      <c r="CM39" s="75"/>
      <c r="CN39" s="18"/>
      <c r="CO39" s="110">
        <v>100</v>
      </c>
      <c r="CP39" s="75"/>
      <c r="CQ39" s="18"/>
      <c r="CR39" s="76"/>
      <c r="CS39" s="75"/>
      <c r="CT39" s="18"/>
      <c r="CU39" s="78">
        <v>35</v>
      </c>
      <c r="CV39" s="79">
        <f>(AV39+AY39+BB39+BE39)/4</f>
        <v>69.75</v>
      </c>
      <c r="CW39" s="79">
        <f>(BI39+BL39+BO39+BR39)/4</f>
        <v>69.25</v>
      </c>
      <c r="CX39" s="79">
        <f>(BV39+BY39+CB39+CE39)/4</f>
        <v>70.75</v>
      </c>
      <c r="CY39" s="79">
        <f>(CI39+CL39+CO39+CR39)/4</f>
        <v>69.75</v>
      </c>
      <c r="CZ39" s="18"/>
      <c r="DA39" s="80">
        <f>SUM(CV39:CY39)/4</f>
        <v>69.875</v>
      </c>
      <c r="DB39" s="18"/>
      <c r="DC39" s="79">
        <f>DA39*0.5</f>
        <v>34.9375</v>
      </c>
      <c r="DD39" s="75"/>
      <c r="DE39" s="79">
        <f>DD39*0.5</f>
        <v>0</v>
      </c>
      <c r="DF39" s="81">
        <f>DE39+DC39</f>
        <v>34.9375</v>
      </c>
      <c r="DG39" s="18"/>
      <c r="DH39" s="79">
        <f>DA39*0.3</f>
        <v>20.9625</v>
      </c>
      <c r="DI39" s="75"/>
      <c r="DJ39" s="79">
        <f>DI39*0.7</f>
        <v>0</v>
      </c>
      <c r="DK39" s="81">
        <f>DJ39+DH39</f>
        <v>20.9625</v>
      </c>
    </row>
    <row r="40" ht="16.5" customHeight="1">
      <c r="A40" s="105"/>
      <c r="B40" s="106">
        <v>36</v>
      </c>
      <c r="C40" t="s" s="70">
        <v>249</v>
      </c>
      <c r="D40" t="s" s="71">
        <v>812</v>
      </c>
      <c r="E40" t="s" s="72">
        <v>43</v>
      </c>
      <c r="F40" t="s" s="113">
        <v>43</v>
      </c>
      <c r="G40" t="s" s="72">
        <v>161</v>
      </c>
      <c r="H40" t="s" s="113">
        <v>43</v>
      </c>
      <c r="I40" s="74"/>
      <c r="J40" t="s" s="113">
        <v>43</v>
      </c>
      <c r="K40" t="s" s="83">
        <v>43</v>
      </c>
      <c r="L40" t="s" s="83">
        <v>161</v>
      </c>
      <c r="M40" s="79">
        <v>8</v>
      </c>
      <c r="N40" s="75"/>
      <c r="O40" s="79">
        <v>10</v>
      </c>
      <c r="P40" s="79">
        <v>9</v>
      </c>
      <c r="Q40" s="79">
        <v>10</v>
      </c>
      <c r="R40" s="79">
        <f>O40+P40+Q40</f>
        <v>29</v>
      </c>
      <c r="S40" s="79">
        <v>10</v>
      </c>
      <c r="T40" s="76"/>
      <c r="U40" s="79">
        <v>0</v>
      </c>
      <c r="V40" s="75"/>
      <c r="W40" s="79">
        <f>V40+U40+T40+S40+R40+Q40+P40+O40+N40+M40</f>
        <v>76</v>
      </c>
      <c r="X40" s="75"/>
      <c r="Y40" s="79">
        <v>10</v>
      </c>
      <c r="Z40" s="110">
        <v>8</v>
      </c>
      <c r="AA40" s="79">
        <v>10</v>
      </c>
      <c r="AB40" s="110">
        <v>10</v>
      </c>
      <c r="AC40" s="79">
        <v>18</v>
      </c>
      <c r="AD40" s="110">
        <v>10</v>
      </c>
      <c r="AE40" s="110">
        <v>30</v>
      </c>
      <c r="AF40" s="111">
        <f>Y40+Z40+AA40+AB40+AC40+AD40+AE40</f>
        <v>96</v>
      </c>
      <c r="AG40" s="75"/>
      <c r="AH40" t="s" s="83">
        <v>813</v>
      </c>
      <c r="AI40" s="76"/>
      <c r="AJ40" s="78">
        <v>36</v>
      </c>
      <c r="AK40" s="110">
        <v>10</v>
      </c>
      <c r="AL40" s="79">
        <v>20</v>
      </c>
      <c r="AM40" s="110">
        <v>20</v>
      </c>
      <c r="AN40" s="79">
        <v>9</v>
      </c>
      <c r="AO40" s="79">
        <v>0</v>
      </c>
      <c r="AP40" s="110">
        <v>10</v>
      </c>
      <c r="AQ40" s="79">
        <v>7</v>
      </c>
      <c r="AR40" s="110">
        <v>10</v>
      </c>
      <c r="AS40" s="79">
        <f>SUM(AK40:AR40)</f>
        <v>86</v>
      </c>
      <c r="AT40" s="18"/>
      <c r="AU40" s="78">
        <v>36</v>
      </c>
      <c r="AV40" s="110">
        <f>AS40+0</f>
        <v>86</v>
      </c>
      <c r="AW40" s="75"/>
      <c r="AX40" s="18"/>
      <c r="AY40" s="110">
        <f>AF40</f>
        <v>96</v>
      </c>
      <c r="AZ40" s="75"/>
      <c r="BA40" s="18"/>
      <c r="BB40" s="110">
        <f>W40</f>
        <v>76</v>
      </c>
      <c r="BC40" s="75"/>
      <c r="BD40" s="18"/>
      <c r="BE40" s="76"/>
      <c r="BF40" s="75"/>
      <c r="BG40" s="18"/>
      <c r="BH40" s="78">
        <v>36</v>
      </c>
      <c r="BI40" s="110">
        <f>AS40-1</f>
        <v>85</v>
      </c>
      <c r="BJ40" s="75"/>
      <c r="BK40" s="18"/>
      <c r="BL40" s="110">
        <f>AF40-1</f>
        <v>95</v>
      </c>
      <c r="BM40" s="75"/>
      <c r="BN40" s="18"/>
      <c r="BO40" s="110">
        <f>W40-1</f>
        <v>75</v>
      </c>
      <c r="BP40" s="75"/>
      <c r="BQ40" s="18"/>
      <c r="BR40" s="76"/>
      <c r="BS40" s="75"/>
      <c r="BT40" s="18"/>
      <c r="BU40" s="78">
        <v>36</v>
      </c>
      <c r="BV40" s="110">
        <f>AS40+2</f>
        <v>88</v>
      </c>
      <c r="BW40" s="75"/>
      <c r="BX40" s="18"/>
      <c r="BY40" s="110">
        <f>AF40+2</f>
        <v>98</v>
      </c>
      <c r="BZ40" s="75"/>
      <c r="CA40" s="18"/>
      <c r="CB40" s="110">
        <f>W40+2</f>
        <v>78</v>
      </c>
      <c r="CC40" s="75"/>
      <c r="CD40" s="18"/>
      <c r="CE40" s="76"/>
      <c r="CF40" s="75"/>
      <c r="CG40" s="18"/>
      <c r="CH40" s="78">
        <v>36</v>
      </c>
      <c r="CI40" s="110">
        <f>AS40-1</f>
        <v>85</v>
      </c>
      <c r="CJ40" s="75"/>
      <c r="CK40" s="18"/>
      <c r="CL40" s="110">
        <f>AF40+1</f>
        <v>97</v>
      </c>
      <c r="CM40" s="75"/>
      <c r="CN40" s="18"/>
      <c r="CO40" s="110">
        <f>W40+1</f>
        <v>77</v>
      </c>
      <c r="CP40" s="75"/>
      <c r="CQ40" s="18"/>
      <c r="CR40" s="76"/>
      <c r="CS40" s="75"/>
      <c r="CT40" s="18"/>
      <c r="CU40" s="78">
        <v>36</v>
      </c>
      <c r="CV40" s="79">
        <f>(AV40+AY40+BB40+BE40)/4</f>
        <v>64.5</v>
      </c>
      <c r="CW40" s="79">
        <f>(BI40+BL40+BO40+BR40)/4</f>
        <v>63.75</v>
      </c>
      <c r="CX40" s="79">
        <f>(BV40+BY40+CB40+CE40)/4</f>
        <v>66</v>
      </c>
      <c r="CY40" s="79">
        <f>(CI40+CL40+CO40+CR40)/4</f>
        <v>64.75</v>
      </c>
      <c r="CZ40" s="18"/>
      <c r="DA40" s="80">
        <f>SUM(CV40:CY40)/4</f>
        <v>64.75</v>
      </c>
      <c r="DB40" s="18"/>
      <c r="DC40" s="79">
        <f>DA40*0.5</f>
        <v>32.375</v>
      </c>
      <c r="DD40" s="75"/>
      <c r="DE40" s="79">
        <f>DD40*0.5</f>
        <v>0</v>
      </c>
      <c r="DF40" s="81">
        <f>DE40+DC40</f>
        <v>32.375</v>
      </c>
      <c r="DG40" s="18"/>
      <c r="DH40" s="79">
        <f>DA40*0.3</f>
        <v>19.425</v>
      </c>
      <c r="DI40" s="75"/>
      <c r="DJ40" s="79">
        <f>DI40*0.7</f>
        <v>0</v>
      </c>
      <c r="DK40" s="81">
        <f>DJ40+DH40</f>
        <v>19.425</v>
      </c>
    </row>
    <row r="41" ht="16.5" customHeight="1">
      <c r="A41" s="105"/>
      <c r="B41" s="106">
        <v>37</v>
      </c>
      <c r="C41" t="s" s="70">
        <v>814</v>
      </c>
      <c r="D41" t="s" s="71">
        <v>815</v>
      </c>
      <c r="E41" t="s" s="72">
        <v>43</v>
      </c>
      <c r="F41" t="s" s="113">
        <v>161</v>
      </c>
      <c r="G41" t="s" s="72">
        <v>161</v>
      </c>
      <c r="H41" t="s" s="113">
        <v>43</v>
      </c>
      <c r="I41" s="74"/>
      <c r="J41" t="s" s="113">
        <v>43</v>
      </c>
      <c r="K41" t="s" s="83">
        <v>43</v>
      </c>
      <c r="L41" t="s" s="83">
        <v>43</v>
      </c>
      <c r="M41" s="79">
        <v>10</v>
      </c>
      <c r="N41" s="75"/>
      <c r="O41" s="79">
        <v>8</v>
      </c>
      <c r="P41" s="79">
        <v>8</v>
      </c>
      <c r="Q41" s="79">
        <v>7</v>
      </c>
      <c r="R41" s="79">
        <f>O41+P41+Q41</f>
        <v>23</v>
      </c>
      <c r="S41" s="79">
        <v>8</v>
      </c>
      <c r="T41" s="76"/>
      <c r="U41" s="79">
        <v>4</v>
      </c>
      <c r="V41" s="75"/>
      <c r="W41" s="123">
        <f>V41+U41+T41+S41+R41+Q41+P41+O41+N41+M41</f>
        <v>68</v>
      </c>
      <c r="X41" s="75"/>
      <c r="Y41" s="79">
        <v>5</v>
      </c>
      <c r="Z41" s="110">
        <v>8</v>
      </c>
      <c r="AA41" s="79">
        <v>8</v>
      </c>
      <c r="AB41" s="110">
        <v>10</v>
      </c>
      <c r="AC41" s="79">
        <v>10</v>
      </c>
      <c r="AD41" s="110">
        <v>10</v>
      </c>
      <c r="AE41" s="110">
        <v>30</v>
      </c>
      <c r="AF41" s="111">
        <f>Y41+Z41+AA41+AB41+AC41+AD41+AE41</f>
        <v>81</v>
      </c>
      <c r="AG41" s="75"/>
      <c r="AH41" t="s" s="83">
        <v>816</v>
      </c>
      <c r="AI41" s="76"/>
      <c r="AJ41" s="78">
        <v>37</v>
      </c>
      <c r="AK41" s="110">
        <v>10</v>
      </c>
      <c r="AL41" s="79">
        <v>17</v>
      </c>
      <c r="AM41" s="110">
        <v>20</v>
      </c>
      <c r="AN41" s="79">
        <v>5</v>
      </c>
      <c r="AO41" s="79">
        <v>0</v>
      </c>
      <c r="AP41" s="110">
        <v>8</v>
      </c>
      <c r="AQ41" s="79">
        <v>7</v>
      </c>
      <c r="AR41" s="110">
        <v>10</v>
      </c>
      <c r="AS41" s="79">
        <f>SUM(AK41:AR41)</f>
        <v>77</v>
      </c>
      <c r="AT41" s="18"/>
      <c r="AU41" s="78">
        <v>37</v>
      </c>
      <c r="AV41" s="110">
        <f>AS41+0</f>
        <v>77</v>
      </c>
      <c r="AW41" s="75"/>
      <c r="AX41" s="18"/>
      <c r="AY41" s="110">
        <f>AF41</f>
        <v>81</v>
      </c>
      <c r="AZ41" s="75"/>
      <c r="BA41" s="18"/>
      <c r="BB41" s="110">
        <f>W41</f>
        <v>68</v>
      </c>
      <c r="BC41" s="75"/>
      <c r="BD41" s="18"/>
      <c r="BE41" s="76"/>
      <c r="BF41" s="75"/>
      <c r="BG41" s="18"/>
      <c r="BH41" s="78">
        <v>37</v>
      </c>
      <c r="BI41" s="110">
        <f>AS41-1</f>
        <v>76</v>
      </c>
      <c r="BJ41" s="75"/>
      <c r="BK41" s="18"/>
      <c r="BL41" s="110">
        <f>AF41-1</f>
        <v>80</v>
      </c>
      <c r="BM41" s="75"/>
      <c r="BN41" s="18"/>
      <c r="BO41" s="110">
        <f>W41-1</f>
        <v>67</v>
      </c>
      <c r="BP41" s="75"/>
      <c r="BQ41" s="18"/>
      <c r="BR41" s="76"/>
      <c r="BS41" s="75"/>
      <c r="BT41" s="18"/>
      <c r="BU41" s="78">
        <v>37</v>
      </c>
      <c r="BV41" s="110">
        <f>AS41+2</f>
        <v>79</v>
      </c>
      <c r="BW41" s="75"/>
      <c r="BX41" s="18"/>
      <c r="BY41" s="110">
        <f>AF41+2</f>
        <v>83</v>
      </c>
      <c r="BZ41" s="75"/>
      <c r="CA41" s="18"/>
      <c r="CB41" s="110">
        <f>W41+2</f>
        <v>70</v>
      </c>
      <c r="CC41" s="75"/>
      <c r="CD41" s="18"/>
      <c r="CE41" s="76"/>
      <c r="CF41" s="75"/>
      <c r="CG41" s="18"/>
      <c r="CH41" s="78">
        <v>37</v>
      </c>
      <c r="CI41" s="110">
        <f>AS41-1</f>
        <v>76</v>
      </c>
      <c r="CJ41" s="75"/>
      <c r="CK41" s="18"/>
      <c r="CL41" s="110">
        <f>AF41+1</f>
        <v>82</v>
      </c>
      <c r="CM41" s="75"/>
      <c r="CN41" s="18"/>
      <c r="CO41" s="110">
        <f>W41+1</f>
        <v>69</v>
      </c>
      <c r="CP41" s="75"/>
      <c r="CQ41" s="18"/>
      <c r="CR41" s="76"/>
      <c r="CS41" s="75"/>
      <c r="CT41" s="18"/>
      <c r="CU41" s="78">
        <v>37</v>
      </c>
      <c r="CV41" s="79">
        <f>(AV41+AY41+BB41+BE41)/4</f>
        <v>56.5</v>
      </c>
      <c r="CW41" s="79">
        <f>(BI41+BL41+BO41+BR41)/4</f>
        <v>55.75</v>
      </c>
      <c r="CX41" s="79">
        <f>(BV41+BY41+CB41+CE41)/4</f>
        <v>58</v>
      </c>
      <c r="CY41" s="79">
        <f>(CI41+CL41+CO41+CR41)/4</f>
        <v>56.75</v>
      </c>
      <c r="CZ41" s="18"/>
      <c r="DA41" s="80">
        <f>SUM(CV41:CY41)/4</f>
        <v>56.75</v>
      </c>
      <c r="DB41" s="18"/>
      <c r="DC41" s="79">
        <f>DA41*0.5</f>
        <v>28.375</v>
      </c>
      <c r="DD41" s="75"/>
      <c r="DE41" s="79">
        <f>DD41*0.5</f>
        <v>0</v>
      </c>
      <c r="DF41" s="81">
        <f>DE41+DC41</f>
        <v>28.375</v>
      </c>
      <c r="DG41" s="18"/>
      <c r="DH41" s="79">
        <f>DA41*0.3</f>
        <v>17.025</v>
      </c>
      <c r="DI41" s="75"/>
      <c r="DJ41" s="79">
        <f>DI41*0.7</f>
        <v>0</v>
      </c>
      <c r="DK41" s="81">
        <f>DJ41+DH41</f>
        <v>17.025</v>
      </c>
    </row>
    <row r="42" ht="16.5" customHeight="1">
      <c r="A42" s="31">
        <v>1</v>
      </c>
      <c r="B42" s="106">
        <v>38</v>
      </c>
      <c r="C42" t="s" s="70">
        <v>346</v>
      </c>
      <c r="D42" t="s" s="71">
        <v>817</v>
      </c>
      <c r="E42" t="s" s="72">
        <v>43</v>
      </c>
      <c r="F42" t="s" s="113">
        <v>43</v>
      </c>
      <c r="G42" t="s" s="72">
        <v>161</v>
      </c>
      <c r="H42" t="s" s="113">
        <v>43</v>
      </c>
      <c r="I42" s="74"/>
      <c r="J42" t="s" s="113">
        <v>161</v>
      </c>
      <c r="K42" t="s" s="83">
        <v>43</v>
      </c>
      <c r="L42" t="s" s="83">
        <v>43</v>
      </c>
      <c r="M42" s="79">
        <v>10</v>
      </c>
      <c r="N42" s="75"/>
      <c r="O42" s="79">
        <v>9</v>
      </c>
      <c r="P42" s="79">
        <v>7</v>
      </c>
      <c r="Q42" s="79">
        <v>9</v>
      </c>
      <c r="R42" s="79">
        <f>O42+P42+Q42</f>
        <v>25</v>
      </c>
      <c r="S42" s="79">
        <v>10</v>
      </c>
      <c r="T42" s="76"/>
      <c r="U42" s="79">
        <v>10</v>
      </c>
      <c r="V42" s="75"/>
      <c r="W42" s="79">
        <f>V42+U42+T42+S42+R42+Q42+P42+O42+N42+M42</f>
        <v>80</v>
      </c>
      <c r="X42" s="75"/>
      <c r="Y42" s="79">
        <v>10</v>
      </c>
      <c r="Z42" s="110">
        <v>8</v>
      </c>
      <c r="AA42" s="79">
        <v>10</v>
      </c>
      <c r="AB42" s="110">
        <v>10</v>
      </c>
      <c r="AC42" s="79">
        <v>10</v>
      </c>
      <c r="AD42" s="110">
        <v>5</v>
      </c>
      <c r="AE42" s="110">
        <v>30</v>
      </c>
      <c r="AF42" s="111">
        <f>Y42+Z42+AA42+AB42+AC42+AD42+AE42</f>
        <v>83</v>
      </c>
      <c r="AG42" s="75"/>
      <c r="AH42" t="s" s="83">
        <v>818</v>
      </c>
      <c r="AI42" s="76"/>
      <c r="AJ42" s="78">
        <v>38</v>
      </c>
      <c r="AK42" s="110">
        <v>10</v>
      </c>
      <c r="AL42" s="79">
        <v>20</v>
      </c>
      <c r="AM42" s="110">
        <v>20</v>
      </c>
      <c r="AN42" s="79">
        <v>5</v>
      </c>
      <c r="AO42" s="79">
        <v>15</v>
      </c>
      <c r="AP42" s="110">
        <v>8</v>
      </c>
      <c r="AQ42" s="79">
        <v>7</v>
      </c>
      <c r="AR42" s="110">
        <v>10</v>
      </c>
      <c r="AS42" s="79">
        <f>SUM(AK42:AR42)</f>
        <v>95</v>
      </c>
      <c r="AT42" s="18"/>
      <c r="AU42" s="78">
        <v>38</v>
      </c>
      <c r="AV42" s="110">
        <f>AS42+0</f>
        <v>95</v>
      </c>
      <c r="AW42" s="75"/>
      <c r="AX42" s="18"/>
      <c r="AY42" s="110">
        <f>AF42</f>
        <v>83</v>
      </c>
      <c r="AZ42" s="75"/>
      <c r="BA42" s="18"/>
      <c r="BB42" s="110">
        <f>W42</f>
        <v>80</v>
      </c>
      <c r="BC42" s="75"/>
      <c r="BD42" s="18"/>
      <c r="BE42" s="76"/>
      <c r="BF42" s="75"/>
      <c r="BG42" s="18"/>
      <c r="BH42" s="78">
        <v>38</v>
      </c>
      <c r="BI42" s="110">
        <f>AS42-1</f>
        <v>94</v>
      </c>
      <c r="BJ42" s="75"/>
      <c r="BK42" s="18"/>
      <c r="BL42" s="110">
        <f>AF42-1</f>
        <v>82</v>
      </c>
      <c r="BM42" s="75"/>
      <c r="BN42" s="18"/>
      <c r="BO42" s="110">
        <f>W42-1</f>
        <v>79</v>
      </c>
      <c r="BP42" s="75"/>
      <c r="BQ42" s="18"/>
      <c r="BR42" s="76"/>
      <c r="BS42" s="75"/>
      <c r="BT42" s="18"/>
      <c r="BU42" s="78">
        <v>38</v>
      </c>
      <c r="BV42" s="110">
        <f>AS42+2</f>
        <v>97</v>
      </c>
      <c r="BW42" s="75"/>
      <c r="BX42" s="18"/>
      <c r="BY42" s="110">
        <f>AF42+2</f>
        <v>85</v>
      </c>
      <c r="BZ42" s="75"/>
      <c r="CA42" s="18"/>
      <c r="CB42" s="110">
        <f>W42+2</f>
        <v>82</v>
      </c>
      <c r="CC42" s="75"/>
      <c r="CD42" s="18"/>
      <c r="CE42" s="76"/>
      <c r="CF42" s="75"/>
      <c r="CG42" s="18"/>
      <c r="CH42" s="78">
        <v>38</v>
      </c>
      <c r="CI42" s="110">
        <f>AS42-1</f>
        <v>94</v>
      </c>
      <c r="CJ42" s="75"/>
      <c r="CK42" s="18"/>
      <c r="CL42" s="110">
        <f>AF42+1</f>
        <v>84</v>
      </c>
      <c r="CM42" s="75"/>
      <c r="CN42" s="18"/>
      <c r="CO42" s="110">
        <f>W42+1</f>
        <v>81</v>
      </c>
      <c r="CP42" s="75"/>
      <c r="CQ42" s="18"/>
      <c r="CR42" s="76"/>
      <c r="CS42" s="75"/>
      <c r="CT42" s="18"/>
      <c r="CU42" s="78">
        <v>38</v>
      </c>
      <c r="CV42" s="79">
        <f>(AV42+AY42+BB42+BE42)/4</f>
        <v>64.5</v>
      </c>
      <c r="CW42" s="79">
        <f>(BI42+BL42+BO42+BR42)/4</f>
        <v>63.75</v>
      </c>
      <c r="CX42" s="79">
        <f>(BV42+BY42+CB42+CE42)/4</f>
        <v>66</v>
      </c>
      <c r="CY42" s="79">
        <f>(CI42+CL42+CO42+CR42)/4</f>
        <v>64.75</v>
      </c>
      <c r="CZ42" s="18"/>
      <c r="DA42" s="80">
        <f>SUM(CV42:CY42)/4</f>
        <v>64.75</v>
      </c>
      <c r="DB42" s="18"/>
      <c r="DC42" s="79">
        <f>DA42*0.5</f>
        <v>32.375</v>
      </c>
      <c r="DD42" s="75"/>
      <c r="DE42" s="79">
        <f>DD42*0.5</f>
        <v>0</v>
      </c>
      <c r="DF42" s="81">
        <f>DE42+DC42</f>
        <v>32.375</v>
      </c>
      <c r="DG42" s="18"/>
      <c r="DH42" s="79">
        <f>DA42*0.3</f>
        <v>19.425</v>
      </c>
      <c r="DI42" s="75"/>
      <c r="DJ42" s="79">
        <f>DI42*0.7</f>
        <v>0</v>
      </c>
      <c r="DK42" s="81">
        <f>DJ42+DH42</f>
        <v>19.425</v>
      </c>
    </row>
    <row r="43" ht="16.5" customHeight="1">
      <c r="A43" s="105"/>
      <c r="B43" s="106">
        <v>39</v>
      </c>
      <c r="C43" t="s" s="70">
        <v>819</v>
      </c>
      <c r="D43" t="s" s="71">
        <v>820</v>
      </c>
      <c r="E43" t="s" s="72">
        <v>43</v>
      </c>
      <c r="F43" t="s" s="113">
        <v>43</v>
      </c>
      <c r="G43" t="s" s="72">
        <v>161</v>
      </c>
      <c r="H43" t="s" s="113">
        <v>43</v>
      </c>
      <c r="I43" s="74"/>
      <c r="J43" t="s" s="113">
        <v>43</v>
      </c>
      <c r="K43" t="s" s="83">
        <v>43</v>
      </c>
      <c r="L43" t="s" s="83">
        <v>43</v>
      </c>
      <c r="M43" s="79">
        <v>10</v>
      </c>
      <c r="N43" s="75"/>
      <c r="O43" s="75"/>
      <c r="P43" s="75"/>
      <c r="Q43" s="75"/>
      <c r="R43" s="79">
        <f>O43+P43+Q43</f>
        <v>0</v>
      </c>
      <c r="S43" s="79">
        <v>10</v>
      </c>
      <c r="T43" s="76"/>
      <c r="U43" s="79">
        <v>4</v>
      </c>
      <c r="V43" s="75"/>
      <c r="W43" s="123">
        <v>40</v>
      </c>
      <c r="X43" s="75"/>
      <c r="Y43" s="79">
        <v>5</v>
      </c>
      <c r="Z43" s="110">
        <v>8</v>
      </c>
      <c r="AA43" s="79">
        <v>10</v>
      </c>
      <c r="AB43" s="110">
        <v>10</v>
      </c>
      <c r="AC43" s="79">
        <v>17</v>
      </c>
      <c r="AD43" s="110">
        <v>10</v>
      </c>
      <c r="AE43" s="110">
        <v>30</v>
      </c>
      <c r="AF43" s="111">
        <f>Y43+Z43+AA43+AB43+AC43+AD43+AE43</f>
        <v>90</v>
      </c>
      <c r="AG43" s="75"/>
      <c r="AH43" t="s" s="83">
        <v>821</v>
      </c>
      <c r="AI43" s="76"/>
      <c r="AJ43" s="78">
        <v>39</v>
      </c>
      <c r="AK43" s="110">
        <v>10</v>
      </c>
      <c r="AL43" s="79">
        <v>18</v>
      </c>
      <c r="AM43" s="110">
        <v>20</v>
      </c>
      <c r="AN43" s="79">
        <v>7</v>
      </c>
      <c r="AO43" s="79">
        <v>0</v>
      </c>
      <c r="AP43" s="110">
        <v>8</v>
      </c>
      <c r="AQ43" s="79">
        <v>7</v>
      </c>
      <c r="AR43" s="110">
        <v>10</v>
      </c>
      <c r="AS43" s="79">
        <f>SUM(AK43:AR43)</f>
        <v>80</v>
      </c>
      <c r="AT43" s="18"/>
      <c r="AU43" s="78">
        <v>39</v>
      </c>
      <c r="AV43" s="110">
        <f>AS43+0</f>
        <v>80</v>
      </c>
      <c r="AW43" s="75"/>
      <c r="AX43" s="18"/>
      <c r="AY43" s="110">
        <f>AF43</f>
        <v>90</v>
      </c>
      <c r="AZ43" s="75"/>
      <c r="BA43" s="18"/>
      <c r="BB43" s="110">
        <f>W43</f>
        <v>40</v>
      </c>
      <c r="BC43" s="75"/>
      <c r="BD43" s="18"/>
      <c r="BE43" s="76"/>
      <c r="BF43" s="75"/>
      <c r="BG43" s="18"/>
      <c r="BH43" s="78">
        <v>39</v>
      </c>
      <c r="BI43" s="110">
        <f>AS43-1</f>
        <v>79</v>
      </c>
      <c r="BJ43" s="75"/>
      <c r="BK43" s="18"/>
      <c r="BL43" s="110">
        <f>AF43-1</f>
        <v>89</v>
      </c>
      <c r="BM43" s="75"/>
      <c r="BN43" s="18"/>
      <c r="BO43" s="110">
        <f>W43-1</f>
        <v>39</v>
      </c>
      <c r="BP43" s="75"/>
      <c r="BQ43" s="18"/>
      <c r="BR43" s="76"/>
      <c r="BS43" s="75"/>
      <c r="BT43" s="18"/>
      <c r="BU43" s="78">
        <v>39</v>
      </c>
      <c r="BV43" s="110">
        <f>AS43+2</f>
        <v>82</v>
      </c>
      <c r="BW43" s="75"/>
      <c r="BX43" s="18"/>
      <c r="BY43" s="110">
        <f>AF43+2</f>
        <v>92</v>
      </c>
      <c r="BZ43" s="75"/>
      <c r="CA43" s="18"/>
      <c r="CB43" s="110">
        <f>W43+2</f>
        <v>42</v>
      </c>
      <c r="CC43" s="75"/>
      <c r="CD43" s="18"/>
      <c r="CE43" s="76"/>
      <c r="CF43" s="75"/>
      <c r="CG43" s="18"/>
      <c r="CH43" s="78">
        <v>39</v>
      </c>
      <c r="CI43" s="110">
        <f>AS43-1</f>
        <v>79</v>
      </c>
      <c r="CJ43" s="75"/>
      <c r="CK43" s="18"/>
      <c r="CL43" s="110">
        <f>AF43+1</f>
        <v>91</v>
      </c>
      <c r="CM43" s="75"/>
      <c r="CN43" s="18"/>
      <c r="CO43" s="110">
        <f>W43+1</f>
        <v>41</v>
      </c>
      <c r="CP43" s="75"/>
      <c r="CQ43" s="18"/>
      <c r="CR43" s="76"/>
      <c r="CS43" s="75"/>
      <c r="CT43" s="18"/>
      <c r="CU43" s="78">
        <v>39</v>
      </c>
      <c r="CV43" s="79">
        <f>(AV43+AY43+BB43+BE43)/4</f>
        <v>52.5</v>
      </c>
      <c r="CW43" s="79">
        <f>(BI43+BL43+BO43+BR43)/4</f>
        <v>51.75</v>
      </c>
      <c r="CX43" s="79">
        <f>(BV43+BY43+CB43+CE43)/4</f>
        <v>54</v>
      </c>
      <c r="CY43" s="79">
        <f>(CI43+CL43+CO43+CR43)/4</f>
        <v>52.75</v>
      </c>
      <c r="CZ43" s="18"/>
      <c r="DA43" s="80">
        <f>SUM(CV43:CY43)/4</f>
        <v>52.75</v>
      </c>
      <c r="DB43" s="18"/>
      <c r="DC43" s="79">
        <f>DA43*0.5</f>
        <v>26.375</v>
      </c>
      <c r="DD43" s="75"/>
      <c r="DE43" s="79">
        <f>DD43*0.5</f>
        <v>0</v>
      </c>
      <c r="DF43" s="81">
        <f>DE43+DC43</f>
        <v>26.375</v>
      </c>
      <c r="DG43" s="18"/>
      <c r="DH43" s="79">
        <f>DA43*0.3</f>
        <v>15.825</v>
      </c>
      <c r="DI43" s="75"/>
      <c r="DJ43" s="79">
        <f>DI43*0.7</f>
        <v>0</v>
      </c>
      <c r="DK43" s="81">
        <f>DJ43+DH43</f>
        <v>15.825</v>
      </c>
    </row>
    <row r="44" ht="16.5" customHeight="1">
      <c r="A44" s="105"/>
      <c r="B44" s="106">
        <v>40</v>
      </c>
      <c r="C44" t="s" s="70">
        <v>822</v>
      </c>
      <c r="D44" t="s" s="71">
        <v>823</v>
      </c>
      <c r="E44" t="s" s="72">
        <v>43</v>
      </c>
      <c r="F44" t="s" s="113">
        <v>43</v>
      </c>
      <c r="G44" t="s" s="72">
        <v>43</v>
      </c>
      <c r="H44" t="s" s="113">
        <v>43</v>
      </c>
      <c r="I44" s="74"/>
      <c r="J44" t="s" s="113">
        <v>161</v>
      </c>
      <c r="K44" t="s" s="83">
        <v>43</v>
      </c>
      <c r="L44" t="s" s="83">
        <v>161</v>
      </c>
      <c r="M44" s="79">
        <v>8</v>
      </c>
      <c r="N44" s="79">
        <v>20</v>
      </c>
      <c r="O44" s="79">
        <v>10</v>
      </c>
      <c r="P44" s="79">
        <v>9</v>
      </c>
      <c r="Q44" s="79">
        <v>9</v>
      </c>
      <c r="R44" s="79">
        <f>O44+P44+Q44</f>
        <v>28</v>
      </c>
      <c r="S44" s="79">
        <v>10</v>
      </c>
      <c r="T44" s="76"/>
      <c r="U44" s="79">
        <v>10</v>
      </c>
      <c r="V44" s="75"/>
      <c r="W44" s="79">
        <f>V44+U44+T44+S44+R44+Q44+P44+O44+N44+M44</f>
        <v>104</v>
      </c>
      <c r="X44" s="75"/>
      <c r="Y44" s="79">
        <v>10</v>
      </c>
      <c r="Z44" s="110">
        <v>10</v>
      </c>
      <c r="AA44" s="79">
        <v>10</v>
      </c>
      <c r="AB44" s="110">
        <v>10</v>
      </c>
      <c r="AC44" s="79">
        <v>20</v>
      </c>
      <c r="AD44" s="110">
        <v>10</v>
      </c>
      <c r="AE44" s="110">
        <v>30</v>
      </c>
      <c r="AF44" s="111">
        <f>Y44+Z44+AA44+AB44+AC44+AD44+AE44</f>
        <v>100</v>
      </c>
      <c r="AG44" s="75"/>
      <c r="AH44" t="s" s="83">
        <v>824</v>
      </c>
      <c r="AI44" s="76"/>
      <c r="AJ44" s="78">
        <v>40</v>
      </c>
      <c r="AK44" s="110">
        <v>10</v>
      </c>
      <c r="AL44" s="79">
        <v>18</v>
      </c>
      <c r="AM44" s="110">
        <v>20</v>
      </c>
      <c r="AN44" s="79">
        <v>10</v>
      </c>
      <c r="AO44" s="79">
        <v>13</v>
      </c>
      <c r="AP44" s="110">
        <v>10</v>
      </c>
      <c r="AQ44" s="79">
        <v>7</v>
      </c>
      <c r="AR44" s="110">
        <v>10</v>
      </c>
      <c r="AS44" s="79">
        <f>SUM(AK44:AR44)</f>
        <v>98</v>
      </c>
      <c r="AT44" s="18"/>
      <c r="AU44" s="78">
        <v>40</v>
      </c>
      <c r="AV44" s="110">
        <f>AS44+0</f>
        <v>98</v>
      </c>
      <c r="AW44" s="75"/>
      <c r="AX44" s="18"/>
      <c r="AY44" s="110">
        <f>AF44</f>
        <v>100</v>
      </c>
      <c r="AZ44" s="75"/>
      <c r="BA44" s="18"/>
      <c r="BB44" s="110">
        <v>100</v>
      </c>
      <c r="BC44" s="75"/>
      <c r="BD44" s="18"/>
      <c r="BE44" s="76"/>
      <c r="BF44" s="75"/>
      <c r="BG44" s="18"/>
      <c r="BH44" s="78">
        <v>40</v>
      </c>
      <c r="BI44" s="110">
        <f>AS44-1</f>
        <v>97</v>
      </c>
      <c r="BJ44" s="75"/>
      <c r="BK44" s="18"/>
      <c r="BL44" s="110">
        <f>AF44-1</f>
        <v>99</v>
      </c>
      <c r="BM44" s="75"/>
      <c r="BN44" s="18"/>
      <c r="BO44" s="110">
        <v>100</v>
      </c>
      <c r="BP44" s="75"/>
      <c r="BQ44" s="18"/>
      <c r="BR44" s="76"/>
      <c r="BS44" s="75"/>
      <c r="BT44" s="18"/>
      <c r="BU44" s="78">
        <v>40</v>
      </c>
      <c r="BV44" s="110">
        <f>AS44+2</f>
        <v>100</v>
      </c>
      <c r="BW44" s="75"/>
      <c r="BX44" s="18"/>
      <c r="BY44" s="110">
        <v>100</v>
      </c>
      <c r="BZ44" s="75"/>
      <c r="CA44" s="18"/>
      <c r="CB44" s="110">
        <v>100</v>
      </c>
      <c r="CC44" s="75"/>
      <c r="CD44" s="18"/>
      <c r="CE44" s="76"/>
      <c r="CF44" s="75"/>
      <c r="CG44" s="18"/>
      <c r="CH44" s="78">
        <v>40</v>
      </c>
      <c r="CI44" s="110">
        <f>AS44-1</f>
        <v>97</v>
      </c>
      <c r="CJ44" s="75"/>
      <c r="CK44" s="18"/>
      <c r="CL44" s="110">
        <v>100</v>
      </c>
      <c r="CM44" s="75"/>
      <c r="CN44" s="18"/>
      <c r="CO44" s="110">
        <v>100</v>
      </c>
      <c r="CP44" s="75"/>
      <c r="CQ44" s="18"/>
      <c r="CR44" s="76"/>
      <c r="CS44" s="75"/>
      <c r="CT44" s="18"/>
      <c r="CU44" s="78">
        <v>40</v>
      </c>
      <c r="CV44" s="79">
        <f>(AV44+AY44+BB44+BE44)/4</f>
        <v>74.5</v>
      </c>
      <c r="CW44" s="79">
        <f>(BI44+BL44+BO44+BR44)/4</f>
        <v>74</v>
      </c>
      <c r="CX44" s="79">
        <f>(BV44+BY44+CB44+CE44)/4</f>
        <v>75</v>
      </c>
      <c r="CY44" s="79">
        <f>(CI44+CL44+CO44+CR44)/4</f>
        <v>74.25</v>
      </c>
      <c r="CZ44" s="18"/>
      <c r="DA44" s="80">
        <f>SUM(CV44:CY44)/4</f>
        <v>74.4375</v>
      </c>
      <c r="DB44" s="18"/>
      <c r="DC44" s="79">
        <f>DA44*0.5</f>
        <v>37.21875</v>
      </c>
      <c r="DD44" s="75"/>
      <c r="DE44" s="79">
        <f>DD44*0.5</f>
        <v>0</v>
      </c>
      <c r="DF44" s="81">
        <f>DE44+DC44</f>
        <v>37.21875</v>
      </c>
      <c r="DG44" s="18"/>
      <c r="DH44" s="79">
        <f>DA44*0.3</f>
        <v>22.33125</v>
      </c>
      <c r="DI44" s="75"/>
      <c r="DJ44" s="79">
        <f>DI44*0.7</f>
        <v>0</v>
      </c>
      <c r="DK44" s="81">
        <f>DJ44+DH44</f>
        <v>22.33125</v>
      </c>
    </row>
    <row r="45" ht="16.5" customHeight="1">
      <c r="A45" s="105"/>
      <c r="B45" s="106">
        <v>41</v>
      </c>
      <c r="C45" t="s" s="70">
        <v>825</v>
      </c>
      <c r="D45" t="s" s="71">
        <v>826</v>
      </c>
      <c r="E45" t="s" s="72">
        <v>43</v>
      </c>
      <c r="F45" t="s" s="113">
        <v>43</v>
      </c>
      <c r="G45" t="s" s="72">
        <v>43</v>
      </c>
      <c r="H45" t="s" s="113">
        <v>43</v>
      </c>
      <c r="I45" s="74"/>
      <c r="J45" t="s" s="113">
        <v>43</v>
      </c>
      <c r="K45" t="s" s="83">
        <v>43</v>
      </c>
      <c r="L45" t="s" s="83">
        <v>43</v>
      </c>
      <c r="M45" s="79">
        <v>10</v>
      </c>
      <c r="N45" s="79">
        <v>20</v>
      </c>
      <c r="O45" s="79">
        <v>7</v>
      </c>
      <c r="P45" s="79">
        <v>6</v>
      </c>
      <c r="Q45" s="79">
        <v>9</v>
      </c>
      <c r="R45" s="79">
        <f>O45+P45+Q45</f>
        <v>22</v>
      </c>
      <c r="S45" s="79">
        <v>10</v>
      </c>
      <c r="T45" s="76"/>
      <c r="U45" s="79">
        <v>8</v>
      </c>
      <c r="V45" s="75"/>
      <c r="W45" s="79">
        <f>V45+U45+T45+S45+R45+Q45+P45+O45+N45+M45</f>
        <v>92</v>
      </c>
      <c r="X45" s="75"/>
      <c r="Y45" s="79">
        <v>5</v>
      </c>
      <c r="Z45" s="110">
        <v>10</v>
      </c>
      <c r="AA45" s="79">
        <v>10</v>
      </c>
      <c r="AB45" s="110">
        <v>10</v>
      </c>
      <c r="AC45" s="79">
        <v>20</v>
      </c>
      <c r="AD45" s="110">
        <v>5</v>
      </c>
      <c r="AE45" s="110">
        <v>30</v>
      </c>
      <c r="AF45" s="111">
        <f>Y45+Z45+AA45+AB45+AC45+AD45+AE45</f>
        <v>90</v>
      </c>
      <c r="AG45" s="75"/>
      <c r="AH45" t="s" s="83">
        <v>827</v>
      </c>
      <c r="AI45" s="76"/>
      <c r="AJ45" s="78">
        <v>41</v>
      </c>
      <c r="AK45" s="110">
        <v>10</v>
      </c>
      <c r="AL45" s="79">
        <v>19</v>
      </c>
      <c r="AM45" s="110">
        <v>20</v>
      </c>
      <c r="AN45" s="79">
        <v>10</v>
      </c>
      <c r="AO45" s="79">
        <v>15</v>
      </c>
      <c r="AP45" s="110">
        <v>10</v>
      </c>
      <c r="AQ45" s="79">
        <v>6</v>
      </c>
      <c r="AR45" s="110">
        <v>10</v>
      </c>
      <c r="AS45" s="79">
        <f>SUM(AK45:AR45)</f>
        <v>100</v>
      </c>
      <c r="AT45" s="18"/>
      <c r="AU45" s="78">
        <v>41</v>
      </c>
      <c r="AV45" s="110">
        <f>AS45+0</f>
        <v>100</v>
      </c>
      <c r="AW45" s="75"/>
      <c r="AX45" s="18"/>
      <c r="AY45" s="110">
        <f>AF45</f>
        <v>90</v>
      </c>
      <c r="AZ45" s="75"/>
      <c r="BA45" s="18"/>
      <c r="BB45" s="110">
        <f>W45</f>
        <v>92</v>
      </c>
      <c r="BC45" s="75"/>
      <c r="BD45" s="18"/>
      <c r="BE45" s="76"/>
      <c r="BF45" s="75"/>
      <c r="BG45" s="18"/>
      <c r="BH45" s="78">
        <v>41</v>
      </c>
      <c r="BI45" s="110">
        <v>100</v>
      </c>
      <c r="BJ45" s="75"/>
      <c r="BK45" s="18"/>
      <c r="BL45" s="110">
        <f>AF45-1</f>
        <v>89</v>
      </c>
      <c r="BM45" s="75"/>
      <c r="BN45" s="18"/>
      <c r="BO45" s="110">
        <f>W45-1</f>
        <v>91</v>
      </c>
      <c r="BP45" s="75"/>
      <c r="BQ45" s="18"/>
      <c r="BR45" s="76"/>
      <c r="BS45" s="75"/>
      <c r="BT45" s="18"/>
      <c r="BU45" s="78">
        <v>41</v>
      </c>
      <c r="BV45" s="110">
        <v>100</v>
      </c>
      <c r="BW45" s="75"/>
      <c r="BX45" s="18"/>
      <c r="BY45" s="110">
        <f>AF45+2</f>
        <v>92</v>
      </c>
      <c r="BZ45" s="75"/>
      <c r="CA45" s="18"/>
      <c r="CB45" s="110">
        <f>W45+2</f>
        <v>94</v>
      </c>
      <c r="CC45" s="75"/>
      <c r="CD45" s="18"/>
      <c r="CE45" s="76"/>
      <c r="CF45" s="75"/>
      <c r="CG45" s="18"/>
      <c r="CH45" s="78">
        <v>41</v>
      </c>
      <c r="CI45" s="110">
        <f>AS45-1</f>
        <v>99</v>
      </c>
      <c r="CJ45" s="75"/>
      <c r="CK45" s="18"/>
      <c r="CL45" s="110">
        <f>AF45+1</f>
        <v>91</v>
      </c>
      <c r="CM45" s="75"/>
      <c r="CN45" s="18"/>
      <c r="CO45" s="110">
        <f>W45+1</f>
        <v>93</v>
      </c>
      <c r="CP45" s="75"/>
      <c r="CQ45" s="18"/>
      <c r="CR45" s="76"/>
      <c r="CS45" s="75"/>
      <c r="CT45" s="18"/>
      <c r="CU45" s="78">
        <v>41</v>
      </c>
      <c r="CV45" s="79">
        <f>(AV45+AY45+BB45+BE45)/4</f>
        <v>70.5</v>
      </c>
      <c r="CW45" s="79">
        <f>(BI45+BL45+BO45+BR45)/4</f>
        <v>70</v>
      </c>
      <c r="CX45" s="79">
        <f>(BV45+BY45+CB45+CE45)/4</f>
        <v>71.5</v>
      </c>
      <c r="CY45" s="79">
        <f>(CI45+CL45+CO45+CR45)/4</f>
        <v>70.75</v>
      </c>
      <c r="CZ45" s="18"/>
      <c r="DA45" s="80">
        <f>SUM(CV45:CY45)/4</f>
        <v>70.6875</v>
      </c>
      <c r="DB45" s="18"/>
      <c r="DC45" s="79">
        <f>DA45*0.5</f>
        <v>35.34375</v>
      </c>
      <c r="DD45" s="75"/>
      <c r="DE45" s="79">
        <f>DD45*0.5</f>
        <v>0</v>
      </c>
      <c r="DF45" s="81">
        <f>DE45+DC45</f>
        <v>35.34375</v>
      </c>
      <c r="DG45" s="18"/>
      <c r="DH45" s="79">
        <f>DA45*0.3</f>
        <v>21.20625</v>
      </c>
      <c r="DI45" s="75"/>
      <c r="DJ45" s="79">
        <f>DI45*0.7</f>
        <v>0</v>
      </c>
      <c r="DK45" s="81">
        <f>DJ45+DH45</f>
        <v>21.20625</v>
      </c>
    </row>
    <row r="46" ht="13.5" customHeight="1">
      <c r="A46" s="188"/>
      <c r="B46" s="147"/>
      <c r="C46" s="11"/>
      <c r="D46" s="11"/>
      <c r="E46" s="11"/>
      <c r="F46" s="147"/>
      <c r="G46" s="11"/>
      <c r="H46" s="147"/>
      <c r="I46" s="11"/>
      <c r="J46" s="147"/>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23"/>
      <c r="AU46" s="11"/>
      <c r="AV46" s="11"/>
      <c r="AW46" s="11"/>
      <c r="AX46" s="23"/>
      <c r="AY46" s="152"/>
      <c r="AZ46" s="11"/>
      <c r="BA46" s="23"/>
      <c r="BB46" s="11"/>
      <c r="BC46" s="11"/>
      <c r="BD46" s="23"/>
      <c r="BE46" s="11"/>
      <c r="BF46" s="11"/>
      <c r="BG46" s="23"/>
      <c r="BH46" s="11"/>
      <c r="BI46" s="11"/>
      <c r="BJ46" s="11"/>
      <c r="BK46" s="23"/>
      <c r="BL46" s="11"/>
      <c r="BM46" s="11"/>
      <c r="BN46" s="23"/>
      <c r="BO46" s="11"/>
      <c r="BP46" s="11"/>
      <c r="BQ46" s="23"/>
      <c r="BR46" s="11"/>
      <c r="BS46" s="11"/>
      <c r="BT46" s="23"/>
      <c r="BU46" s="11"/>
      <c r="BV46" s="11"/>
      <c r="BW46" s="11"/>
      <c r="BX46" s="23"/>
      <c r="BY46" s="11"/>
      <c r="BZ46" s="11"/>
      <c r="CA46" s="23"/>
      <c r="CB46" s="11"/>
      <c r="CC46" s="11"/>
      <c r="CD46" s="23"/>
      <c r="CE46" s="11"/>
      <c r="CF46" s="11"/>
      <c r="CG46" s="23"/>
      <c r="CH46" s="11"/>
      <c r="CI46" s="11"/>
      <c r="CJ46" s="11"/>
      <c r="CK46" s="23"/>
      <c r="CL46" s="11"/>
      <c r="CM46" s="11"/>
      <c r="CN46" s="23"/>
      <c r="CO46" s="11"/>
      <c r="CP46" s="11"/>
      <c r="CQ46" s="23"/>
      <c r="CR46" s="11"/>
      <c r="CS46" s="11"/>
      <c r="CT46" s="23"/>
      <c r="CU46" s="11"/>
      <c r="CV46" s="11"/>
      <c r="CW46" s="11"/>
      <c r="CX46" s="11"/>
      <c r="CY46" s="11"/>
      <c r="CZ46" s="23"/>
      <c r="DA46" s="11"/>
      <c r="DB46" s="23"/>
      <c r="DC46" s="11"/>
      <c r="DD46" s="11"/>
      <c r="DE46" s="11"/>
      <c r="DF46" s="11"/>
      <c r="DG46" s="23"/>
      <c r="DH46" s="11"/>
      <c r="DI46" s="11"/>
      <c r="DJ46" s="11"/>
      <c r="DK46" s="153"/>
    </row>
    <row r="47" ht="13.5" customHeight="1">
      <c r="A47" s="146"/>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c r="DK47" s="156"/>
    </row>
    <row r="48" ht="15" customHeight="1">
      <c r="A48" s="146"/>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4"/>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c r="DK48" s="156"/>
    </row>
    <row r="49" ht="15" customHeight="1">
      <c r="A49" s="146"/>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135"/>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c r="DK49" s="156"/>
    </row>
    <row r="50" ht="15" customHeight="1">
      <c r="A50" s="85"/>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135"/>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159"/>
    </row>
  </sheetData>
  <mergeCells count="22">
    <mergeCell ref="DJ3:DJ4"/>
    <mergeCell ref="DK3:DK4"/>
    <mergeCell ref="DH2:DK2"/>
    <mergeCell ref="AV3:BF3"/>
    <mergeCell ref="BI3:BS3"/>
    <mergeCell ref="BV3:CF3"/>
    <mergeCell ref="CI3:CS3"/>
    <mergeCell ref="CV3:CV4"/>
    <mergeCell ref="CW3:CW4"/>
    <mergeCell ref="CX3:CX4"/>
    <mergeCell ref="CY3:CY4"/>
    <mergeCell ref="DA3:DA4"/>
    <mergeCell ref="DC3:DC4"/>
    <mergeCell ref="DD3:DD4"/>
    <mergeCell ref="DE3:DE4"/>
    <mergeCell ref="DF3:DF4"/>
    <mergeCell ref="DH3:DH4"/>
    <mergeCell ref="DI3:DI4"/>
    <mergeCell ref="E1:AI1"/>
    <mergeCell ref="AK2:AS2"/>
    <mergeCell ref="CV2:CY2"/>
    <mergeCell ref="DC2:DF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